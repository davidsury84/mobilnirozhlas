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načení výrobků" sheetId="1" r:id="rId4"/>
    <sheet state="visible" name="Žebříky" sheetId="2" r:id="rId5"/>
    <sheet state="visible" name="Značeni podsestav ABR" sheetId="3" r:id="rId6"/>
    <sheet state="visible" name="Systém číslování ABR" sheetId="4" r:id="rId7"/>
    <sheet state="visible" name="Pravopis-Názvy dílů" sheetId="5" r:id="rId8"/>
    <sheet state="visible" name="Plachty" sheetId="6" r:id="rId9"/>
    <sheet state="visible" name="Značení podestav CITY" sheetId="7" r:id="rId10"/>
    <sheet state="visible" name="ABR-DSD" sheetId="8" r:id="rId11"/>
    <sheet state="visible" name="ABR-AFS" sheetId="9" r:id="rId12"/>
    <sheet state="visible" name="ABR-NL" sheetId="10" r:id="rId13"/>
    <sheet state="visible" name="ABR-WD" sheetId="11" r:id="rId14"/>
    <sheet state="visible" name="ABR-ECL" sheetId="12" r:id="rId15"/>
    <sheet state="visible" name="ABR-LWC" sheetId="13" r:id="rId16"/>
    <sheet state="visible" name="ABR-STH" sheetId="14" r:id="rId17"/>
    <sheet state="visible" name="ABR-HBI" sheetId="15" r:id="rId18"/>
    <sheet state="visible" name="ABR-HBS" sheetId="16" r:id="rId19"/>
    <sheet state="visible" name="ABR-HDC" sheetId="17" r:id="rId20"/>
    <sheet state="visible" name="ABR-ACTS" sheetId="18" r:id="rId21"/>
    <sheet state="visible" name="ABR-POP" sheetId="19" r:id="rId22"/>
    <sheet state="visible" name="ABR-PALPTPSPD" sheetId="20" r:id="rId23"/>
    <sheet state="visible" name="ABR-AFO" sheetId="21" r:id="rId24"/>
    <sheet state="visible" name="ABR-TH" sheetId="22" r:id="rId25"/>
    <sheet state="visible" name="SLD" sheetId="23" r:id="rId26"/>
  </sheets>
  <definedNames>
    <definedName hidden="1" localSheetId="4" name="_xlnm._FilterDatabase">'Pravopis-Názvy dílů'!$A$1:$E$1004</definedName>
  </definedNames>
  <calcPr/>
</workbook>
</file>

<file path=xl/sharedStrings.xml><?xml version="1.0" encoding="utf-8"?>
<sst xmlns="http://schemas.openxmlformats.org/spreadsheetml/2006/main" count="1293" uniqueCount="747">
  <si>
    <t>Francouzská norma NF R 17-114</t>
  </si>
  <si>
    <t>Značení alternativ - návrh</t>
  </si>
  <si>
    <t>ODKAZ NA KÓDY KONTEJNERŮ---&gt;</t>
  </si>
  <si>
    <t>natahování</t>
  </si>
  <si>
    <t>Shrnutí Tento dokument stanovuje rozměry, funkce a bezpečnost abrollů namontovaných na ližinách (NF R 17-108)</t>
  </si>
  <si>
    <t>DIN</t>
  </si>
  <si>
    <t>NA 1570/50 - typ A výška 1570 mm, průměr háku 50 mm</t>
  </si>
  <si>
    <t>6 Bezpečnostní předpisy a opatření</t>
  </si>
  <si>
    <t>6.1 Zadní vrata na abrolly</t>
  </si>
  <si>
    <t>NA 1570/60 - typ A výška 1570 mm, průměr háku 60 mm</t>
  </si>
  <si>
    <t>Vrata musí být vybaveny bezpečnostním systémem, s automatickým záběrem, zabraňujícím jejich</t>
  </si>
  <si>
    <t>NH 1570/50 - typ H dle Din 1570, hák 50 mm</t>
  </si>
  <si>
    <t>náhodnému otevření při odemčení.</t>
  </si>
  <si>
    <t>NH 1570/60 - typ H dle Din 1570, hák 60 mm</t>
  </si>
  <si>
    <t>Lze použít manuální zabezpečovací systém, který zabrání nechtěnému otevření univerzálních dveří (francouzská klapka) popř. další konkrétní případy.</t>
  </si>
  <si>
    <t xml:space="preserve">NS 1570/50 - sklopné 1570/průměr 50 </t>
  </si>
  <si>
    <t>Panty musí být navrženy tak, aby se dveře při používání nedaly odklopit.</t>
  </si>
  <si>
    <r>
      <rPr>
        <rFont val="Calibri, sans-serif"/>
        <b/>
        <color rgb="FF000000"/>
        <sz val="28.0"/>
      </rPr>
      <t>SYSTÉM ČÍSLOVÁNÍ DÍLŮ V ABROL PROJEKTECH</t>
    </r>
    <r>
      <rPr>
        <rFont val="Calibri, sans-serif"/>
        <b/>
        <color rgb="FF6AA84F"/>
        <sz val="28.0"/>
      </rPr>
      <t xml:space="preserve">
     </t>
    </r>
    <r>
      <rPr>
        <rFont val="Calibri, sans-serif"/>
        <b/>
        <color rgb="FF000000"/>
        <sz val="28.0"/>
      </rPr>
      <t>RDS :=</t>
    </r>
    <r>
      <rPr>
        <rFont val="Calibri, sans-serif"/>
        <b/>
        <color rgb="FF6AA84F"/>
        <sz val="28.0"/>
      </rPr>
      <t xml:space="preserve"> </t>
    </r>
    <r>
      <rPr>
        <rFont val="Calibri, sans-serif"/>
        <b/>
        <color rgb="FFFF0000"/>
        <sz val="28.0"/>
      </rPr>
      <t>&lt;Proj&gt;</t>
    </r>
    <r>
      <rPr>
        <rFont val="Calibri, sans-serif"/>
        <b/>
        <color rgb="FF000000"/>
        <sz val="28.0"/>
      </rPr>
      <t>-</t>
    </r>
    <r>
      <rPr>
        <rFont val="Calibri, sans-serif"/>
        <b/>
        <color rgb="FF9900FF"/>
        <sz val="28.0"/>
      </rPr>
      <t>&lt;Group&gt;</t>
    </r>
    <r>
      <rPr>
        <rFont val="Calibri, sans-serif"/>
        <b/>
        <color rgb="FF000000"/>
        <sz val="28.0"/>
      </rPr>
      <t>.</t>
    </r>
    <r>
      <rPr>
        <rFont val="Calibri, sans-serif"/>
        <b/>
        <color rgb="FF0000FF"/>
        <sz val="28.0"/>
      </rPr>
      <t>&lt;SubAsm&gt;</t>
    </r>
    <r>
      <rPr>
        <rFont val="Calibri, sans-serif"/>
        <b/>
        <color rgb="FF000000"/>
        <sz val="28.0"/>
      </rPr>
      <t>-</t>
    </r>
    <r>
      <rPr>
        <rFont val="Calibri, sans-serif"/>
        <b/>
        <color rgb="FFFF00FF"/>
        <sz val="28.0"/>
      </rPr>
      <t>&lt;Item&gt;</t>
    </r>
    <r>
      <rPr>
        <rFont val="Calibri, sans-serif"/>
        <b/>
        <color rgb="FF9900FF"/>
        <sz val="28.0"/>
      </rPr>
      <t xml:space="preserve">
                  </t>
    </r>
    <r>
      <rPr>
        <rFont val="Calibri, sans-serif"/>
        <b/>
        <color rgb="FFFF0000"/>
        <sz val="28.0"/>
      </rPr>
      <t>&lt;Proj&gt; := YEAR{C,B,S}0–999</t>
    </r>
    <r>
      <rPr>
        <rFont val="Calibri, sans-serif"/>
        <b/>
        <color rgb="FF9900FF"/>
        <sz val="28.0"/>
      </rPr>
      <t xml:space="preserve">
                               &lt;Group&gt; := {10–15,31–36,41–46,51,61,64,81–83}</t>
    </r>
    <r>
      <rPr>
        <rFont val="Calibri, sans-serif"/>
        <b/>
        <color rgb="FF6AA84F"/>
        <sz val="28.0"/>
      </rPr>
      <t xml:space="preserve">
                                                </t>
    </r>
    <r>
      <rPr>
        <rFont val="Calibri, sans-serif"/>
        <b/>
        <color rgb="FF0000FF"/>
        <sz val="28.0"/>
      </rPr>
      <t>&lt;SubAsm&gt; := 01–99</t>
    </r>
    <r>
      <rPr>
        <rFont val="Calibri, sans-serif"/>
        <b/>
        <color rgb="FF6AA84F"/>
        <sz val="28.0"/>
      </rPr>
      <t xml:space="preserve">
                                                                   </t>
    </r>
    <r>
      <rPr>
        <rFont val="Calibri, sans-serif"/>
        <b/>
        <color rgb="FFFF00FF"/>
        <sz val="28.0"/>
      </rPr>
      <t xml:space="preserve">&lt;Item&gt; := 00–99
</t>
    </r>
    <r>
      <rPr>
        <rFont val="Calibri, sans-serif"/>
        <b/>
        <color rgb="FF000000"/>
        <sz val="28.0"/>
      </rPr>
      <t>BV: detaily bez výkresu označte atributem BV, aniž byste BV vkládali do RDS (JE MOŽNÉ POUŽÍVAT BV :=25B000-BV)</t>
    </r>
  </si>
  <si>
    <t>Pantů musí být v dostatečném počtu. Jejich konstrukce a údržba musí umožňovat snadné použití po celou dobu životnosti zařízení.</t>
  </si>
  <si>
    <t xml:space="preserve">NS 1570/60 - sklopné 1570/průměr 60 </t>
  </si>
  <si>
    <t>Doporučuje se používat panty, které bočně nevyčnívají.</t>
  </si>
  <si>
    <t>NV 1570/60 - vyměnitelné 1570/průměr 60</t>
  </si>
  <si>
    <t>6.2 Žebřík pro kontrolu vnitřku abrollu</t>
  </si>
  <si>
    <t>AFNOR</t>
  </si>
  <si>
    <t>NA 1425/50 - typ A výška 1425 mm, průměr 50 mm</t>
  </si>
  <si>
    <t>Vzdálenost mezi dvěma po sobě jdoucími příčkami musí být konstantní a musí být mezi 225 mm a 300 mm. DE max. 280 mm, vzdálenost konstantní a bez přerušení.</t>
  </si>
  <si>
    <t>NA 1450/50 - typ A výška 1450 mm, průměr 50 mm</t>
  </si>
  <si>
    <t>NT 1425/50 - fr provedení tvar T 1425</t>
  </si>
  <si>
    <t>Maximální výška první příčky musí být 400 mm. DE max. 650 mm (od země).</t>
  </si>
  <si>
    <t>NT 1450/50 - fr provedení tvar T 1450</t>
  </si>
  <si>
    <t>Poslední příčka musí být umístěna 1 100 mm od horního lemu. DE 1000 mm.</t>
  </si>
  <si>
    <t>NTA 1425/50 - fr provedení tvar TA vytažený 1425 (např. Schroll)</t>
  </si>
  <si>
    <t>Dvě svislá madla vyrobená z trubky o průměru (nebo šířce sekce) 25 až 35 mm musí být umístěna v horní části od 1200 mm od země.</t>
  </si>
  <si>
    <t>Příčky žebříku musí být protiskluzové, vybavené bočními blokovacími nožičkami, mimo stěny, výztuhy nebo vzpěry korby, aby bylo možné správně umístit nohu. DE musí být protiskluzové, min. hloubka příčky 20 mm.</t>
  </si>
  <si>
    <t>Vzdálenost chodidla před příčkou musí být minimálně 150 mm (včetně příčky). DE 150 mm (hloubka nášlapu).</t>
  </si>
  <si>
    <t>25B000</t>
  </si>
  <si>
    <t>NL</t>
  </si>
  <si>
    <t>Šířka příček musí být minimálně 400 mm. DE mezi 300 a 450 mm.</t>
  </si>
  <si>
    <t>NHNL 1450/50 - typ H pro NL trh 1450, hák 50 mm, 200 od čela</t>
  </si>
  <si>
    <t xml:space="preserve">ABR-DSD   </t>
  </si>
  <si>
    <t>kontejnery v normě DIN/ABR containers as per DIN 30722</t>
  </si>
  <si>
    <t>-</t>
  </si>
  <si>
    <t>Průřez příčky může být kruhový s minimálním průměrem 19 mm nebo polygonální s povrchovou šířkou podpěra minimálně 12 mm. DE nesmí být průřez kruhový.</t>
  </si>
  <si>
    <t>NAT 1570/50 - typ A výška 1570 mm, průměr háku 50 mm, tunelové</t>
  </si>
  <si>
    <t>Ke kontejneru by neměl být možný žádný jiný přístup, neměly by zde být žádné výztuhy ani vyčnívající horizontální podélníky.</t>
  </si>
  <si>
    <t>NAT 1570/60 - typ A výška 1570 mm, průměr háku 60 mm, tunelové</t>
  </si>
  <si>
    <t xml:space="preserve">ABR-AFS   </t>
  </si>
  <si>
    <t>6.3 Plachta a sítě</t>
  </si>
  <si>
    <t>00</t>
  </si>
  <si>
    <t>NHT 1570/50 - typ H dle Din 1570, hák 50 mm, tunelové</t>
  </si>
  <si>
    <t>kontejnery v normě AFNOR/containers acc AFNOR</t>
  </si>
  <si>
    <t>Plachta nebo síť musí být ke kontejneru řádně připevněna, aby se neotevřela a neztratil se naklad během přepravy.</t>
  </si>
  <si>
    <t>NHT 1570/60 - typ H dle Din 1570, hák 60 mm, tunelové</t>
  </si>
  <si>
    <t>.</t>
  </si>
  <si>
    <t>K tomu je třeba zajistit upevňovací zařízení pro plachtu nebo nasazení sítí kolem korby přibližně 600 mm od horního okraje korby a ve vzdálenosti maximálně 600 mm.</t>
  </si>
  <si>
    <t xml:space="preserve">ABR-NL     </t>
  </si>
  <si>
    <t>Tato upevňovací zařízení musí odolávat otřesům a být nezraňující.</t>
  </si>
  <si>
    <t>NL - natahování lanové</t>
  </si>
  <si>
    <t>Kontejnery pro holandský trh/Dutch type</t>
  </si>
  <si>
    <r>
      <rPr>
        <i/>
        <color rgb="FFFF0000"/>
        <sz val="19.0"/>
      </rPr>
      <t>👈</t>
    </r>
    <r>
      <rPr>
        <i/>
        <color rgb="FFFF0000"/>
        <sz val="16.0"/>
      </rPr>
      <t xml:space="preserve"> Pozor, do čísla nepřidávejte žádné další znaky, mezery ani jiné symboly. Používejte pouze uvedený vzorec číslování.</t>
    </r>
  </si>
  <si>
    <t>NR pevné - natahování řetězové pevně navařené na čele</t>
  </si>
  <si>
    <t>ČÍSLO PROJEKTŮ</t>
  </si>
  <si>
    <t>6.4 Indikace těžiště sklápěče</t>
  </si>
  <si>
    <t xml:space="preserve">ABR-WD   </t>
  </si>
  <si>
    <t>NRS sklopné - natahování řetězové sklopné</t>
  </si>
  <si>
    <t>bezvýztuhové kontejnery v normě DIN/containers w/out side profiles WD acc DIN</t>
  </si>
  <si>
    <t>Scandinavian</t>
  </si>
  <si>
    <t xml:space="preserve">NN xxx - Nordic type </t>
  </si>
  <si>
    <t>ČÍSLO TYPICKOJ SESTAVY</t>
  </si>
  <si>
    <t>napojení bočnic</t>
  </si>
  <si>
    <t>ABR-WF    </t>
  </si>
  <si>
    <t>R150 - napojení kulaté R150 vytažená podlaha (U 100x50)</t>
  </si>
  <si>
    <t>bezvýztuhové kontejnery v normě AFNOR/containers w/out side profiles WD acc AFNOR</t>
  </si>
  <si>
    <t>je potřeba rozdělovat do FR verzí nebo odlišíme typem natahování?</t>
  </si>
  <si>
    <t>R200 - napojení kulaté R200 vytažená podlaha (U 120x60)</t>
  </si>
  <si>
    <t>ČÍSLO PODSESTAVY 
(POZ. 01 SE POUŽÍVÁ V HLAVNÍ TYPICKÉ SESTAVE)</t>
  </si>
  <si>
    <t>Na obou stranách kontejneru, na ližinách, bude jasně a trvale vyznačeno, svislá osa těžiště, sklápěče rovnoměrně zatížené.</t>
  </si>
  <si>
    <t xml:space="preserve">ABR-ECL    </t>
  </si>
  <si>
    <t>K90 - kolmé napojení (šířky 2300 a 2420 mm)</t>
  </si>
  <si>
    <t>kulaté bezvýztuhové provedení/ABR containers without side profiles pipe shape</t>
  </si>
  <si>
    <t>ČÍSLO DÍLU</t>
  </si>
  <si>
    <t>6.5 Omezení použití kolébky</t>
  </si>
  <si>
    <t>VP250 - vytažená podlaha do výšky ca 250 mm nad podlahu (45x45 st.)</t>
  </si>
  <si>
    <t xml:space="preserve">ČÍSLOVÁNÍ </t>
  </si>
  <si>
    <t>ABR-BS</t>
  </si>
  <si>
    <t>VP000 - NEvytažená podlaha (45x45 st.)</t>
  </si>
  <si>
    <t>Všechny setrvačné síly kontejneru se musí přenášet na ližiny.</t>
  </si>
  <si>
    <t>provedení s podélnými prolisy (např. Veolia France)</t>
  </si>
  <si>
    <t>6.6 Absorpce podélných sil během přepravy na vozidle nebo přívěsu</t>
  </si>
  <si>
    <t xml:space="preserve">NÁZEV </t>
  </si>
  <si>
    <t>K90R - kolmé napojení (šířky 2300 a 2420 mm) + PODLAHOVÝ  ROŠT</t>
  </si>
  <si>
    <t>ABR-LWC</t>
  </si>
  <si>
    <t>lehké provedení HARDOX/STRENX 700</t>
  </si>
  <si>
    <t>VP250R - vytažená podlaha do výšky ca 250 mm nad podlahu (45x45 st.) + PODLAHOVÝ  ROŠT</t>
  </si>
  <si>
    <t>FILE NAME:</t>
  </si>
  <si>
    <t>ABR-STH  </t>
  </si>
  <si>
    <t>stohováky dle DIN/stackable containers ABR acc DIN</t>
  </si>
  <si>
    <t>VP000R - NEvytažená podlaha (ohýbané bočnice 45x45 st.) + PODLAHOVÝ  ROŠT</t>
  </si>
  <si>
    <t>vrchní lem</t>
  </si>
  <si>
    <t>JE100 - jekl 100x80x4 S355</t>
  </si>
  <si>
    <t>PŘÍKLADY:</t>
  </si>
  <si>
    <t xml:space="preserve">ABR-HBI </t>
  </si>
  <si>
    <t>TR114 - trubka 114x6 S355</t>
  </si>
  <si>
    <t>25B000-31.01-00</t>
  </si>
  <si>
    <t>PODLAHA VP250</t>
  </si>
  <si>
    <r>
      <rPr>
        <rFont val="Calibri, sans-serif"/>
        <color rgb="FF000000"/>
        <sz val="14.0"/>
      </rPr>
      <t>22B</t>
    </r>
    <r>
      <rPr>
        <rFont val="Calibri, sans-serif"/>
        <i/>
        <color rgb="FF000000"/>
        <sz val="14.0"/>
      </rPr>
      <t>000</t>
    </r>
    <r>
      <rPr>
        <rFont val="Calibri, sans-serif"/>
        <color rgb="FF000000"/>
        <sz val="14.0"/>
      </rPr>
      <t>-31.01-00 PODLAHA</t>
    </r>
  </si>
  <si>
    <t>TR89 - trubka 89x6 S355</t>
  </si>
  <si>
    <t xml:space="preserve">hardoxové kontejnery velké vypouklé/ABR containers from Hardox BIG and strong </t>
  </si>
  <si>
    <t>profil výztuh bočnice / podlaha</t>
  </si>
  <si>
    <t>VU80</t>
  </si>
  <si>
    <t>profil U80x60</t>
  </si>
  <si>
    <t>25B000-32.01-00</t>
  </si>
  <si>
    <t>PODLAHA K90</t>
  </si>
  <si>
    <t>VU100</t>
  </si>
  <si>
    <t>profil U100x60 - STANDARD ELKOPLAST</t>
  </si>
  <si>
    <r>
      <rPr>
        <rFont val="Calibri, sans-serif"/>
        <color rgb="FF000000"/>
        <sz val="14.0"/>
      </rPr>
      <t>22B</t>
    </r>
    <r>
      <rPr>
        <rFont val="Calibri, sans-serif"/>
        <i/>
        <color rgb="FF000000"/>
        <sz val="14.0"/>
      </rPr>
      <t>000</t>
    </r>
    <r>
      <rPr>
        <rFont val="Calibri, sans-serif"/>
        <color rgb="FF000000"/>
        <sz val="14.0"/>
      </rPr>
      <t>-32.01-00 PODLAHA</t>
    </r>
  </si>
  <si>
    <t>VU120</t>
  </si>
  <si>
    <t>profil U120x60</t>
  </si>
  <si>
    <t>VU80x50</t>
  </si>
  <si>
    <t>profil U80x50 - SPECIAL VÝŠKA  profilu</t>
  </si>
  <si>
    <t>NATAHOVANI</t>
  </si>
  <si>
    <t>VU100x50</t>
  </si>
  <si>
    <t>profil U100x50 - SPECIAL VÝŠKA  profilu</t>
  </si>
  <si>
    <t>VU120x50</t>
  </si>
  <si>
    <t>profil U120x50 - SPECIAL VÝŠKA  profilu</t>
  </si>
  <si>
    <t>25B000-41.01-00</t>
  </si>
  <si>
    <t>BOČNICE LEVÁ VP250</t>
  </si>
  <si>
    <r>
      <rPr>
        <rFont val="Calibri, sans-serif"/>
        <color rgb="FF000000"/>
        <sz val="14.0"/>
      </rPr>
      <t>22B</t>
    </r>
    <r>
      <rPr>
        <rFont val="Calibri, sans-serif"/>
        <i/>
        <color rgb="FF000000"/>
        <sz val="14.0"/>
      </rPr>
      <t>000</t>
    </r>
    <r>
      <rPr>
        <rFont val="Calibri, sans-serif"/>
        <color rgb="FF000000"/>
        <sz val="14.0"/>
      </rPr>
      <t>-41.01-00 BOČNICE LEVÁ</t>
    </r>
  </si>
  <si>
    <t>rozteč výztuh</t>
  </si>
  <si>
    <t>SV500 - rozteč svislých výztuh 500 mm</t>
  </si>
  <si>
    <t>LYŽINA</t>
  </si>
  <si>
    <t>25B000-42.01-00</t>
  </si>
  <si>
    <r>
      <rPr>
        <rFont val="Calibri, sans-serif"/>
        <color rgb="FF000000"/>
        <sz val="14.0"/>
      </rPr>
      <t>BOČNICE LEVÁ</t>
    </r>
    <r>
      <rPr>
        <rFont val="Calibri, sans-serif"/>
        <b/>
        <color rgb="FF000000"/>
        <sz val="14.0"/>
      </rPr>
      <t xml:space="preserve"> </t>
    </r>
    <r>
      <rPr>
        <rFont val="Calibri, sans-serif"/>
        <color rgb="FF000000"/>
        <sz val="14.0"/>
      </rPr>
      <t>K90</t>
    </r>
  </si>
  <si>
    <r>
      <rPr>
        <rFont val="Calibri, sans-serif"/>
        <color rgb="FF000000"/>
        <sz val="14.0"/>
      </rPr>
      <t>22B</t>
    </r>
    <r>
      <rPr>
        <rFont val="Calibri, sans-serif"/>
        <i/>
        <color rgb="FF000000"/>
        <sz val="14.0"/>
      </rPr>
      <t>000</t>
    </r>
    <r>
      <rPr>
        <rFont val="Calibri, sans-serif"/>
        <color rgb="FF000000"/>
        <sz val="14.0"/>
      </rPr>
      <t>-42.01-00 BOČNICE LEVÁ</t>
    </r>
  </si>
  <si>
    <t>vyztužení podlahy</t>
  </si>
  <si>
    <t>ZPN100 - zhuštěná podlaha U 100x60x4</t>
  </si>
  <si>
    <t>CENTRAL</t>
  </si>
  <si>
    <t>MZVL - mezivýztuhy lyžina x podlaha</t>
  </si>
  <si>
    <t>25B000-42.01-01</t>
  </si>
  <si>
    <t>háčky na plachtu x výška</t>
  </si>
  <si>
    <t>HPS500 např. háčky na plachtu ze spodu - od podlahy500 mm</t>
  </si>
  <si>
    <t>BOČNICE-PLECH</t>
  </si>
  <si>
    <t>doplnit typy (DSD,Domat aj.)</t>
  </si>
  <si>
    <r>
      <rPr>
        <rFont val="Calibri, sans-serif"/>
        <color rgb="FF000000"/>
        <sz val="14.0"/>
      </rPr>
      <t>22B</t>
    </r>
    <r>
      <rPr>
        <rFont val="Calibri, sans-serif"/>
        <i/>
        <color rgb="FF000000"/>
        <sz val="14.0"/>
      </rPr>
      <t>000</t>
    </r>
    <r>
      <rPr>
        <rFont val="Calibri, sans-serif"/>
        <color rgb="FF000000"/>
        <sz val="14.0"/>
      </rPr>
      <t>-42.01-01 BOČNICE-PLECH</t>
    </r>
  </si>
  <si>
    <t>HPV500 např. háčky na plachtu zvrchu 500 mm</t>
  </si>
  <si>
    <t>ROLNA</t>
  </si>
  <si>
    <t>HP0</t>
  </si>
  <si>
    <t>háčky na plachtu nejsou</t>
  </si>
  <si>
    <t>vrata</t>
  </si>
  <si>
    <t>VRJEKL</t>
  </si>
  <si>
    <t>vrata jeklový lem, prolis plechy</t>
  </si>
  <si>
    <t>nedat jako standard?  -- ANO</t>
  </si>
  <si>
    <t>TRAMEC</t>
  </si>
  <si>
    <t>VRVU</t>
  </si>
  <si>
    <t>vrata vyztužené U profilem</t>
  </si>
  <si>
    <t>VRJT</t>
  </si>
  <si>
    <t xml:space="preserve">ABR-HBS </t>
  </si>
  <si>
    <t>vrata těsněná</t>
  </si>
  <si>
    <t>25B000-BV</t>
  </si>
  <si>
    <t>BOČNICE-LEM JEKL 100x80x4 L=5000</t>
  </si>
  <si>
    <r>
      <rPr>
        <rFont val="Calibri, sans-serif"/>
        <color rgb="FF000000"/>
        <sz val="14.0"/>
      </rPr>
      <t>22B</t>
    </r>
    <r>
      <rPr>
        <rFont val="Calibri, sans-serif"/>
        <i/>
        <color rgb="FF000000"/>
        <sz val="14.0"/>
      </rPr>
      <t>000</t>
    </r>
    <r>
      <rPr>
        <rFont val="Calibri, sans-serif"/>
        <color rgb="FF000000"/>
        <sz val="14.0"/>
      </rPr>
      <t>-42.01-02 BOČNICE-LEM</t>
    </r>
  </si>
  <si>
    <t>halbšalenmuldy hardox/ABR containers from Hardox half pipe shape</t>
  </si>
  <si>
    <t>klapky</t>
  </si>
  <si>
    <t>KLS</t>
  </si>
  <si>
    <t>klapka standardní/rovná (pendel)</t>
  </si>
  <si>
    <t xml:space="preserve">ABR-HDC </t>
  </si>
  <si>
    <t>KLST</t>
  </si>
  <si>
    <t>hardoxové korby (typ ala GTS)/ABR containers from Hardox U shape</t>
  </si>
  <si>
    <t>klapka standardní těsněná</t>
  </si>
  <si>
    <t>KLZ</t>
  </si>
  <si>
    <t>klapka zvýšená</t>
  </si>
  <si>
    <t>ABR-ACTS</t>
  </si>
  <si>
    <t>KLZT</t>
  </si>
  <si>
    <t>Železniční kontejner/ACTS containers</t>
  </si>
  <si>
    <t>klapka zvýšená těsněná</t>
  </si>
  <si>
    <t>ABR-POP</t>
  </si>
  <si>
    <t>Abroll s víky (tzv. Hausmull Container) (změna z ABR-HM dle 28.5.2018)</t>
  </si>
  <si>
    <t>KLP</t>
  </si>
  <si>
    <t>PODLAHA 2300 VP250</t>
  </si>
  <si>
    <t>klapka přejezdová</t>
  </si>
  <si>
    <t>ABR-PAP</t>
  </si>
  <si>
    <t>KLF</t>
  </si>
  <si>
    <t>Abrol s otvory na papír</t>
  </si>
  <si>
    <t>francouzská klapka vč. vrat</t>
  </si>
  <si>
    <t>PODLAHA 2300 K90</t>
  </si>
  <si>
    <t>KHT</t>
  </si>
  <si>
    <t>ABR-PAL</t>
  </si>
  <si>
    <t>klapka hyraulická těsněná</t>
  </si>
  <si>
    <t>Plato s alu bočnicemi</t>
  </si>
  <si>
    <t>KH</t>
  </si>
  <si>
    <t>klapka hydraulická</t>
  </si>
  <si>
    <t>ABR-PT</t>
  </si>
  <si>
    <t>Plato těžké provedení s prohlubní</t>
  </si>
  <si>
    <t>KLHDC</t>
  </si>
  <si>
    <t>ABR-PS</t>
  </si>
  <si>
    <t>Plato standard ocel podlaha</t>
  </si>
  <si>
    <t>klapka zvýšena pro kont ABR-HDC</t>
  </si>
  <si>
    <t>PODLAHA 2400-2420 VP250</t>
  </si>
  <si>
    <t>KSL</t>
  </si>
  <si>
    <t>ABR-PSK</t>
  </si>
  <si>
    <t>klapka Sorling</t>
  </si>
  <si>
    <t>Plato standard ocel podlaha s klanicemi</t>
  </si>
  <si>
    <t>ABR-PSN</t>
  </si>
  <si>
    <t>vlajky</t>
  </si>
  <si>
    <t>Plato se zadním nájezdem</t>
  </si>
  <si>
    <t>VLP</t>
  </si>
  <si>
    <t>vlajka pravá (jednokřídlá vrata)</t>
  </si>
  <si>
    <t>VLL</t>
  </si>
  <si>
    <t>ABR-PSNK</t>
  </si>
  <si>
    <t>vlajka levá</t>
  </si>
  <si>
    <t>Plato se zadním nájezdem a klanicemi</t>
  </si>
  <si>
    <t>VLPT</t>
  </si>
  <si>
    <t>vlajka pravá těsněná</t>
  </si>
  <si>
    <t>ABR-PDK</t>
  </si>
  <si>
    <t>VLLT</t>
  </si>
  <si>
    <t>Plato standard drevena podlaha s klanicemi</t>
  </si>
  <si>
    <t>vlajka levá těsněná</t>
  </si>
  <si>
    <t>zavírání vrat</t>
  </si>
  <si>
    <t>ABR-AFO  </t>
  </si>
  <si>
    <t>VNL</t>
  </si>
  <si>
    <t>kontejnery pro f.Hamo/Scandinavian type</t>
  </si>
  <si>
    <t>PODLAHA 2400-2420 K90</t>
  </si>
  <si>
    <t>holandské</t>
  </si>
  <si>
    <t>doplnit detail pohled</t>
  </si>
  <si>
    <t>VSH</t>
  </si>
  <si>
    <t>ABR-TH</t>
  </si>
  <si>
    <t>S hák</t>
  </si>
  <si>
    <t>Thermocontainer</t>
  </si>
  <si>
    <t>PODLAHA 2300 VP000</t>
  </si>
  <si>
    <t>VDO</t>
  </si>
  <si>
    <t>ala Domat</t>
  </si>
  <si>
    <t>VHD</t>
  </si>
  <si>
    <t>kryté ala Casier, vanheede</t>
  </si>
  <si>
    <t>PODLAHA 2300 R150</t>
  </si>
  <si>
    <t>ABR-ARC</t>
  </si>
  <si>
    <t>vrata heavy duty</t>
  </si>
  <si>
    <t>Kontejner na sklo</t>
  </si>
  <si>
    <t>VHM1</t>
  </si>
  <si>
    <t>ala Hamo mono</t>
  </si>
  <si>
    <t>ABR-RAM</t>
  </si>
  <si>
    <t>VHM2</t>
  </si>
  <si>
    <t>ala Hamo dvojité</t>
  </si>
  <si>
    <t>dvojté zavírání</t>
  </si>
  <si>
    <t xml:space="preserve">VDC </t>
  </si>
  <si>
    <t>dvojté zavírání (double closing)</t>
  </si>
  <si>
    <t>Rám ABR/ABR frames</t>
  </si>
  <si>
    <t>zámek páky</t>
  </si>
  <si>
    <t>PR8 -  zámek páky Rewald dia ??</t>
  </si>
  <si>
    <t>PN - zámek páky bezpečnostní NL</t>
  </si>
  <si>
    <t>ABR-SUEZ DE</t>
  </si>
  <si>
    <t>PS - zámek páky standardní</t>
  </si>
  <si>
    <t>příklad značení kont pro konkrétního zákazníka (nebo ABR-VHD pro vanheede)</t>
  </si>
  <si>
    <t>BOČNICE 2300 VP250</t>
  </si>
  <si>
    <t>centrální jištění vrat</t>
  </si>
  <si>
    <t>ABR-ALST</t>
  </si>
  <si>
    <t>CA - centrál automat s pružinou</t>
  </si>
  <si>
    <t>provedení Alustahl/Contracts - výhradně pro tyto zákazníky</t>
  </si>
  <si>
    <t>CB - centrál umístěný pod podlahou(za trámcem) - NEPOUŽIVAT</t>
  </si>
  <si>
    <t>BOČNICE 2300 K90</t>
  </si>
  <si>
    <t>CP - centrál posuvný ala Domat umístněný v trámci - Není v katalogu</t>
  </si>
  <si>
    <t>CE - centrál umístěný vně trámce</t>
  </si>
  <si>
    <t>BOČNICE 2400 -2420 VP250</t>
  </si>
  <si>
    <t>CS - centrál např. pro VEOLIA BE, TVH</t>
  </si>
  <si>
    <t>CG - centrál gravitační automat</t>
  </si>
  <si>
    <t>STANDARDY KONSTRUKCI ABR</t>
  </si>
  <si>
    <t>C0 - provedení bez centrálu</t>
  </si>
  <si>
    <t>BOČNICE 2400-2420 K90</t>
  </si>
  <si>
    <t>centrální jištění vlajky</t>
  </si>
  <si>
    <t>koty zajištovacího kolíku</t>
  </si>
  <si>
    <t>CV - provedení  vlajky univerzální (ala lisovací kont) stejné pro těsnou i netěsnou verzi</t>
  </si>
  <si>
    <t>umístnění klapačky</t>
  </si>
  <si>
    <t>centrální jištění klapky</t>
  </si>
  <si>
    <t>CD - provedení těsněné klapky</t>
  </si>
  <si>
    <t>BOČNICE 2300 JE100-K90</t>
  </si>
  <si>
    <t>umístění a rozměry plechu v jekl vratech ABR i CITY</t>
  </si>
  <si>
    <t>C? - provedení netěsněné klapky</t>
  </si>
  <si>
    <t>uchycení 2té betaspony - na jedno očko abychom nemuseli zinkovat</t>
  </si>
  <si>
    <t>CK - centrál přejezdová klapka</t>
  </si>
  <si>
    <t>BOČNICE 2300 JE100-VP250</t>
  </si>
  <si>
    <t xml:space="preserve">žebříky </t>
  </si>
  <si>
    <t>provedení trámce a zadních sloupků u kolmého napojení a š 2420 - trámec UPN 200 + sloupky 2 x ohyb U 100x50x6 S700</t>
  </si>
  <si>
    <t>ZD - žebřík s perfor nášlapy montovaný</t>
  </si>
  <si>
    <t>standardně od v 1500 mm</t>
  </si>
  <si>
    <t>ZC - žebřík s nášlapy s protiskluz plechem montovaný (pro Č.R.)</t>
  </si>
  <si>
    <t>rakvičky na bočnicicíh utopené 10 mm ?</t>
  </si>
  <si>
    <t>ZF - žebřík z pásoviny 40/8</t>
  </si>
  <si>
    <t>panty kované na 2400 mm stačí 3 ks, mimo šroťaři a Remondis</t>
  </si>
  <si>
    <t>ZU - žebřík zapuštěný s perfor nášlapy</t>
  </si>
  <si>
    <t>ZW - žebřík samostatný nášlap s protiskluz plechem NEPOUŽÍVAT</t>
  </si>
  <si>
    <t>ZWP - žebřík samostatný nášlap s protiskluz plechem PRAVÝ pro SUEZ-BE</t>
  </si>
  <si>
    <t>přejít na nový typ háčku zajištění vrat</t>
  </si>
  <si>
    <t>ZR - žebřík roxor z boční strany</t>
  </si>
  <si>
    <t>Z0 - bez žebříku</t>
  </si>
  <si>
    <t>standard je řetěz na vratech, bude mít i 2 verzi s kolíky na vratech, doplnit do katalogu provedení</t>
  </si>
  <si>
    <t>čep rolen</t>
  </si>
  <si>
    <t>ČELO</t>
  </si>
  <si>
    <t>CR 300/40</t>
  </si>
  <si>
    <t>madla nad žebříky nepoužívat</t>
  </si>
  <si>
    <t>čep pro rolnu délky 300 mm, průměr 40 mm</t>
  </si>
  <si>
    <t>CR 300/50</t>
  </si>
  <si>
    <t>odtok otvor na U profily podlahy dávat jen 1x a ca na střed (průměr ?)</t>
  </si>
  <si>
    <t>CR 200/40</t>
  </si>
  <si>
    <t>CR 200/50</t>
  </si>
  <si>
    <t>záslepky otevřených profilů podlah, upravit tvar ala CITY</t>
  </si>
  <si>
    <t>CR 180/40</t>
  </si>
  <si>
    <t>čep rolen pro CITY</t>
  </si>
  <si>
    <t>VRATA</t>
  </si>
  <si>
    <t>střechy</t>
  </si>
  <si>
    <t>mezivýztuhy podlahové - délka, resp. vzdálenost od okraje (utopení? kolik)</t>
  </si>
  <si>
    <t>standard z 2mm</t>
  </si>
  <si>
    <t>SMP - střecha s mechanickým heverem/panty VPRAVO po směru jízdy</t>
  </si>
  <si>
    <t>NL zavírání - budeme ubírat mírně na síle materiálu?</t>
  </si>
  <si>
    <t>SML - střecha s mechanickým heverem/panty VLEVO po směru jízdy</t>
  </si>
  <si>
    <t>SHP - střecha s hydraulickým ovládáním/panty VPRAVO po směru jízdy</t>
  </si>
  <si>
    <t>vytvořit dotazník na specifikace kontejneru plus katalog typových provedení a aktualizace</t>
  </si>
  <si>
    <t>SHL - střecha s hydraulickým ovládáním/panty VLEVO po směru jízdy</t>
  </si>
  <si>
    <t>vytažná podlaha u AFS kontejnerů jako standard</t>
  </si>
  <si>
    <t>SPP - střecha posuvná/ovládání VPRAVO po směru jízdy</t>
  </si>
  <si>
    <t>SPL - střecha posuvná/ovládání VLEVO po směru jízdy</t>
  </si>
  <si>
    <t>doraz plech za natahováním?</t>
  </si>
  <si>
    <t>SFX - střecha fixní/pevně zavařená</t>
  </si>
  <si>
    <t>SDH - střecha 2 dílná/ovládaná hydraulilicky</t>
  </si>
  <si>
    <t>OKA na jeřáb ??? chtěli jsme zjednodušit</t>
  </si>
  <si>
    <t>PRT - plachta rolovací s turnikety</t>
  </si>
  <si>
    <t>KLAPKA / VLAJKA</t>
  </si>
  <si>
    <t>PDP - plachta/síť dvoudílná přehazovací</t>
  </si>
  <si>
    <t>PDL - plachta/síť dvoudílná umístěná v lemu</t>
  </si>
  <si>
    <t>plechy HBI a ECL bočnice v pálení</t>
  </si>
  <si>
    <t>rolny</t>
  </si>
  <si>
    <t>ROL159-300</t>
  </si>
  <si>
    <t>STD</t>
  </si>
  <si>
    <t>ROL159-250</t>
  </si>
  <si>
    <t>ROL159-200</t>
  </si>
  <si>
    <t>ROL159-300P</t>
  </si>
  <si>
    <t xml:space="preserve">POLYAMID </t>
  </si>
  <si>
    <t>formáty ECL 2000mm bez pálení</t>
  </si>
  <si>
    <t>doplnit formáty do tabulky Formáty plechu</t>
  </si>
  <si>
    <t>ROL159-250P</t>
  </si>
  <si>
    <t>ROL159-200P</t>
  </si>
  <si>
    <t>panty rewald označení v rozpisce, více typů?</t>
  </si>
  <si>
    <t xml:space="preserve">STŘECHA POSUVNÁ </t>
  </si>
  <si>
    <t>ROL159-300S</t>
  </si>
  <si>
    <t xml:space="preserve">STD ŠROUBOVACÍ </t>
  </si>
  <si>
    <t>VRATA-VNITŘNÍ KLAPAČKA plech 3x12x2385</t>
  </si>
  <si>
    <t>ROL159-250S</t>
  </si>
  <si>
    <t>STŘECHA SML/P SHL/P</t>
  </si>
  <si>
    <t>ROL159-200S</t>
  </si>
  <si>
    <t>ROL159-300PS</t>
  </si>
  <si>
    <t xml:space="preserve">POLYAMID ŠROUBOVACÍ </t>
  </si>
  <si>
    <t>ROL159-250PS</t>
  </si>
  <si>
    <t>PLACHTA</t>
  </si>
  <si>
    <t>ROL159-200PS</t>
  </si>
  <si>
    <t>ROL203-200</t>
  </si>
  <si>
    <t>AFS</t>
  </si>
  <si>
    <t>tvar lemu HBI upřesnit, mat a rádius</t>
  </si>
  <si>
    <t>ROL220-200</t>
  </si>
  <si>
    <t>plechy podlaha HBI / ECL ze 4 ks</t>
  </si>
  <si>
    <t>formáty plechu vrat 1019 mm</t>
  </si>
  <si>
    <t>C-doraz v lyžínach</t>
  </si>
  <si>
    <t>D1</t>
  </si>
  <si>
    <t>C-DORAZ ANO</t>
  </si>
  <si>
    <t>D0</t>
  </si>
  <si>
    <t>logika značení HBI Remondis 5443 ? proč</t>
  </si>
  <si>
    <t>C-DORAZ NE</t>
  </si>
  <si>
    <t>HBI 36 m3 bočnice 1500 + 1220m, můžeme 1250 - nemusíme pálit</t>
  </si>
  <si>
    <t>typy pantů vrat</t>
  </si>
  <si>
    <t>POD</t>
  </si>
  <si>
    <t>PANT ODLITEK PRO KONTEJNER 2420mm</t>
  </si>
  <si>
    <t>Délky mezi výztuh AFS podlaha kvůli výrobě, měření, formáty plechu, rozměr, bez záslepky atp. Rozteče rolen norma, realita, žebřík ve standardu?</t>
  </si>
  <si>
    <t>AFS standard jekl vrata, jištění 1x nebo 2x?</t>
  </si>
  <si>
    <t>Seznam, výkres AFS,DSD s vyznačením SD dílců pro přehlednost. Seznam základních</t>
  </si>
  <si>
    <t>napojení zadního UPN kolmo</t>
  </si>
  <si>
    <t>provedení mezery mezi vraty a zadní doraz (jednodušší ala kovošrot¨) na všechny ve STD - Alustahl</t>
  </si>
  <si>
    <t>hbi REMONDIS ověřit formáty, značení kont vč. verze DSD</t>
  </si>
  <si>
    <t>rohová výztuha ECL trámec boční U profil, musí být větší - udělat standardy na kreslení. Lze to unifikovat např. s HBI aj?</t>
  </si>
  <si>
    <t>změnit ECL provedení obecně, kolmý výběh podlahy, zvážit</t>
  </si>
  <si>
    <t>rozpisky pálení díly qste 380 atp. dávat do stříhání</t>
  </si>
  <si>
    <t>Typický pravopis dílu/sestavy - CZ</t>
  </si>
  <si>
    <t>EN</t>
  </si>
  <si>
    <t>FR</t>
  </si>
  <si>
    <t>UA</t>
  </si>
  <si>
    <t>Poznámka</t>
  </si>
  <si>
    <t xml:space="preserve">Bočnice </t>
  </si>
  <si>
    <t xml:space="preserve">Čelo </t>
  </si>
  <si>
    <t>Dolní výztuha</t>
  </si>
  <si>
    <t>Hákové natahování</t>
  </si>
  <si>
    <t>Horní lem</t>
  </si>
  <si>
    <t>Horní výztuha</t>
  </si>
  <si>
    <t>PRT</t>
  </si>
  <si>
    <t>PLACHTA ROLOVACÍ S TURNIKETEM</t>
  </si>
  <si>
    <t xml:space="preserve">Lanové natahování </t>
  </si>
  <si>
    <t>Ližina</t>
  </si>
  <si>
    <t>Nosník</t>
  </si>
  <si>
    <t>Páka</t>
  </si>
  <si>
    <t>Panty</t>
  </si>
  <si>
    <t>Plech</t>
  </si>
  <si>
    <t>Podlaha</t>
  </si>
  <si>
    <t>sklopná bočnice</t>
  </si>
  <si>
    <t>vrata/klapka</t>
  </si>
  <si>
    <t>vrata standard</t>
  </si>
  <si>
    <t>snížené</t>
  </si>
  <si>
    <t>kombinace vrata klapka</t>
  </si>
  <si>
    <t>klapka standard (oboustranná přejezdová)</t>
  </si>
  <si>
    <t>CITY-SIT</t>
  </si>
  <si>
    <t>VO - doplnovací okno na vratech</t>
  </si>
  <si>
    <t>NA 900/35/UPN140 - natahování na CITY dle DIN, průměr háku 35 mm, lyžina UPN 140</t>
  </si>
  <si>
    <t>NA 900/35/IPN120</t>
  </si>
  <si>
    <t>NA 900/35/IPN100</t>
  </si>
  <si>
    <t>NA 1000/40/UPN140 - natahování na CITY do ČR ,průměr háku 40 mm</t>
  </si>
  <si>
    <t>NA 1000/40/IPN120 - natahování na CITY do ČR ,průměr háku 40 mm</t>
  </si>
  <si>
    <t>NRS sklopné - natahování řetězové sklopné (zatím nepoužíváme)</t>
  </si>
  <si>
    <t>napojení</t>
  </si>
  <si>
    <t>typ lyžiny</t>
  </si>
  <si>
    <t>UPN 140</t>
  </si>
  <si>
    <t>IPN 120</t>
  </si>
  <si>
    <t>Příruba</t>
  </si>
  <si>
    <t>INP 100</t>
  </si>
  <si>
    <t>UPN 100</t>
  </si>
  <si>
    <t>MZVL</t>
  </si>
  <si>
    <t>mezivýztuhy lyžina x podlah</t>
  </si>
  <si>
    <t>zajištění v lyžině</t>
  </si>
  <si>
    <t>LZA</t>
  </si>
  <si>
    <t>lyžina zajištění aktivní (bez čepu)</t>
  </si>
  <si>
    <t xml:space="preserve">LZP </t>
  </si>
  <si>
    <t>lyžina zajištění pasivní (s čepem dle normy)</t>
  </si>
  <si>
    <t>provedení vrat</t>
  </si>
  <si>
    <t>VSH2</t>
  </si>
  <si>
    <t>S hák/2</t>
  </si>
  <si>
    <t>V800</t>
  </si>
  <si>
    <t>snížená vrata 800 mm</t>
  </si>
  <si>
    <t>KLP500</t>
  </si>
  <si>
    <t>klapka přejezdová v 500 mm</t>
  </si>
  <si>
    <t>KLP700</t>
  </si>
  <si>
    <t>klapka přejezdová v 700 mm</t>
  </si>
  <si>
    <t>klapka standardní (pendel)</t>
  </si>
  <si>
    <t>klapka standaradní těsněná</t>
  </si>
  <si>
    <t>Rolna</t>
  </si>
  <si>
    <t>ABR-DSD</t>
  </si>
  <si>
    <t>standard</t>
  </si>
  <si>
    <t>opce</t>
  </si>
  <si>
    <t>provedení</t>
  </si>
  <si>
    <t>uvazovací oka</t>
  </si>
  <si>
    <t>UOP - uvazovací oka v podlaze</t>
  </si>
  <si>
    <t>UOS - uvazovací oko v šikmině</t>
  </si>
  <si>
    <t>SBO - sklopná část bočnice oboustranná</t>
  </si>
  <si>
    <t>SBL - sklopná část bočnice levá ve směru jízdy</t>
  </si>
  <si>
    <t>typ A</t>
  </si>
  <si>
    <t>SBP - sklopná část bočnice pravá ve směru jízdy</t>
  </si>
  <si>
    <t>typ H</t>
  </si>
  <si>
    <t>sklopné</t>
  </si>
  <si>
    <t>tunelové</t>
  </si>
  <si>
    <t>průměr háku h 1570 (mm)</t>
  </si>
  <si>
    <t>napojení podlahaxbočnice</t>
  </si>
  <si>
    <t>Řetězové natahování</t>
  </si>
  <si>
    <t>45/45, vytažená podlaha (VP 250)</t>
  </si>
  <si>
    <t>R200</t>
  </si>
  <si>
    <t>90° (K90)</t>
  </si>
  <si>
    <t>u 90st šířky 2300 a 2420 mm (tady pouze vrata)</t>
  </si>
  <si>
    <t>tr 89x6 S355</t>
  </si>
  <si>
    <t>jekl 100x80x4 S355</t>
  </si>
  <si>
    <t>tr 114x6 S355</t>
  </si>
  <si>
    <t>rozteč výztuh bočnice</t>
  </si>
  <si>
    <t>750 mm</t>
  </si>
  <si>
    <t>500 mm</t>
  </si>
  <si>
    <t xml:space="preserve">profil výztuh bočnice </t>
  </si>
  <si>
    <t>U 100x60x3</t>
  </si>
  <si>
    <t>U 100x60x4</t>
  </si>
  <si>
    <t>rozteč výztuh podlahy</t>
  </si>
  <si>
    <t>profil výztuh podlahy</t>
  </si>
  <si>
    <t>mezivýztuha IPN x podlaha</t>
  </si>
  <si>
    <t>ne</t>
  </si>
  <si>
    <t>ano</t>
  </si>
  <si>
    <t>jištění C v lyžině</t>
  </si>
  <si>
    <t>zadní trámec</t>
  </si>
  <si>
    <t>UPN 180</t>
  </si>
  <si>
    <t>rolny 2 ks délka 300 mm</t>
  </si>
  <si>
    <t>tr 159x8</t>
  </si>
  <si>
    <t>Sklopná bočnice</t>
  </si>
  <si>
    <t>čep rolen mazaný/průměr</t>
  </si>
  <si>
    <t>40 mm (CR 300/40)</t>
  </si>
  <si>
    <t>50 mm (CR 300/50)</t>
  </si>
  <si>
    <t>2křídlá</t>
  </si>
  <si>
    <t>1křídlá</t>
  </si>
  <si>
    <t>klapka</t>
  </si>
  <si>
    <t>S hák (typ VSH)</t>
  </si>
  <si>
    <t>holandské (VNL)</t>
  </si>
  <si>
    <t>střecha</t>
  </si>
  <si>
    <t>mechanická</t>
  </si>
  <si>
    <t>hydraulická</t>
  </si>
  <si>
    <t>rolovací plachta</t>
  </si>
  <si>
    <t xml:space="preserve">háčky na plachtu </t>
  </si>
  <si>
    <t>ano/500 mm/10mm</t>
  </si>
  <si>
    <t>canvas hooks</t>
  </si>
  <si>
    <t>žebřík (výška kont min 1500 mm)</t>
  </si>
  <si>
    <t>ano/vlevo ve směru jízdy</t>
  </si>
  <si>
    <t>centrální jištění</t>
  </si>
  <si>
    <t>ano/2křídla (typ CE)</t>
  </si>
  <si>
    <t>dvojité zavírání VDC</t>
  </si>
  <si>
    <t>zhuštěné nosníky podlahy ZPN</t>
  </si>
  <si>
    <t>ano
100x60x3 + SD2546 ZÁSLEPKA</t>
  </si>
  <si>
    <t>ověřit zda by nemělo být z 4 mm</t>
  </si>
  <si>
    <t>Sklopné hákové natahování</t>
  </si>
  <si>
    <t>vrata jeklové VRJEKL</t>
  </si>
  <si>
    <t>ano/levé křídlo jištěné/Shák</t>
  </si>
  <si>
    <t>profil 100x60</t>
  </si>
  <si>
    <t xml:space="preserve">horizontální výztuha </t>
  </si>
  <si>
    <t>ano 1 ev. 2 řady</t>
  </si>
  <si>
    <t xml:space="preserve">Výztuha v lyžíne </t>
  </si>
  <si>
    <t>2100 mm</t>
  </si>
  <si>
    <t>mechanická střecha lze u kont min výšky 1250 mm</t>
  </si>
  <si>
    <t>žebřík standardně od výšky 1500 mm včetně</t>
  </si>
  <si>
    <t>ekologické provedení</t>
  </si>
  <si>
    <t>Sklopný nášlap</t>
  </si>
  <si>
    <t>Spodní centrální zavírání</t>
  </si>
  <si>
    <t xml:space="preserve">Střecha </t>
  </si>
  <si>
    <t>Tramec</t>
  </si>
  <si>
    <t>ABR-AFS</t>
  </si>
  <si>
    <t>standard ABR-AFS</t>
  </si>
  <si>
    <t>ABR-AFS-L (light)</t>
  </si>
  <si>
    <t>ABR-AFS-UL (ultra light)</t>
  </si>
  <si>
    <t>Trubka</t>
  </si>
  <si>
    <t>typ A/za natahováním 2xUPN100</t>
  </si>
  <si>
    <t>typ NT 1425/50</t>
  </si>
  <si>
    <t>průměr háku h 1425 (mm)</t>
  </si>
  <si>
    <t>50 (NA1425/50)</t>
  </si>
  <si>
    <t>tr 100x80x4 S355 (JE100)</t>
  </si>
  <si>
    <t>tr 89x6 S355 (TR89)</t>
  </si>
  <si>
    <t>Tunelové natahování</t>
  </si>
  <si>
    <t>1250 mm</t>
  </si>
  <si>
    <t>375 mm</t>
  </si>
  <si>
    <t>417 mm</t>
  </si>
  <si>
    <t>jištění dle Marrel</t>
  </si>
  <si>
    <t>Vrata</t>
  </si>
  <si>
    <t>rolny 2 ks</t>
  </si>
  <si>
    <t>tr 220x8/2160 (200 mm)</t>
  </si>
  <si>
    <t>tr 220x8/1530 (200 mm)</t>
  </si>
  <si>
    <t>tr 159x6,3/2160 (300 mm)</t>
  </si>
  <si>
    <t>tr 159x6,3/1530 (300 mm)</t>
  </si>
  <si>
    <t>40 mm</t>
  </si>
  <si>
    <t>2křídlá VRVU</t>
  </si>
  <si>
    <t>2křídlá VRJEKL</t>
  </si>
  <si>
    <t>posuvná</t>
  </si>
  <si>
    <t>ano/300 mm od podlahy</t>
  </si>
  <si>
    <t>Výztuha</t>
  </si>
  <si>
    <t>žebřík výška min. 1500 mm</t>
  </si>
  <si>
    <t>dvojité zavírání</t>
  </si>
  <si>
    <t>vrata jeklové</t>
  </si>
  <si>
    <t>ano/levé křídlo jištěné</t>
  </si>
  <si>
    <t>ANO</t>
  </si>
  <si>
    <t>aktualizace</t>
  </si>
  <si>
    <t>Zavírání</t>
  </si>
  <si>
    <t>2022/10 uprava rolny trubka159x6,3</t>
  </si>
  <si>
    <t>ABR-NL</t>
  </si>
  <si>
    <t>NH-NL 1450/50</t>
  </si>
  <si>
    <t>lanové</t>
  </si>
  <si>
    <t>řetězové pevné</t>
  </si>
  <si>
    <t>řetězové sklopné</t>
  </si>
  <si>
    <t>vnitřní výztuha za natahováním</t>
  </si>
  <si>
    <t xml:space="preserve">UPN 140 </t>
  </si>
  <si>
    <t>R150</t>
  </si>
  <si>
    <t>Žebro</t>
  </si>
  <si>
    <t>U 100x50x4</t>
  </si>
  <si>
    <t>U 100x50x3</t>
  </si>
  <si>
    <t>ano (pásovina 5 mm)</t>
  </si>
  <si>
    <t>výztuha lyžiny IPN 180</t>
  </si>
  <si>
    <t xml:space="preserve">ano / 100x5 délka 3000 mm </t>
  </si>
  <si>
    <t>jištění L v lyžině</t>
  </si>
  <si>
    <t>UPN 200</t>
  </si>
  <si>
    <t>čep rolen mazaný</t>
  </si>
  <si>
    <t>průměr 40 mm</t>
  </si>
  <si>
    <t>průměr 50 mm</t>
  </si>
  <si>
    <t>rolny 2 ks typ Marrel 219x110 mm</t>
  </si>
  <si>
    <t>Žebřík</t>
  </si>
  <si>
    <t>ZV DM</t>
  </si>
  <si>
    <t>2rám se sítí</t>
  </si>
  <si>
    <t>ano/500 mm od země/8mm (???)</t>
  </si>
  <si>
    <t xml:space="preserve">žebřík </t>
  </si>
  <si>
    <t>roxor na bočnici (u čela na str řidiče a vzadu na str spolujezdce)</t>
  </si>
  <si>
    <t>ano/vlevo ve směru jízdy/přivařen k H nahtahování</t>
  </si>
  <si>
    <t>ano typ CD</t>
  </si>
  <si>
    <t>ano/2křídla -dořešit typ (Domat,Suez, náš?,)</t>
  </si>
  <si>
    <t>zhuštěné nosníky podlahy</t>
  </si>
  <si>
    <t>ano 100x50x4</t>
  </si>
  <si>
    <t>kulatina mezi lyžinami pro aretaci</t>
  </si>
  <si>
    <t>ABR-WD</t>
  </si>
  <si>
    <t>NA 1570/50</t>
  </si>
  <si>
    <t>NH 1570/50</t>
  </si>
  <si>
    <t>NS 1570/50</t>
  </si>
  <si>
    <t>ca R150</t>
  </si>
  <si>
    <t>Tr 114x6 S355</t>
  </si>
  <si>
    <t>bez výztuh</t>
  </si>
  <si>
    <t>1 x středem vertikálně</t>
  </si>
  <si>
    <t>ano/500 mm</t>
  </si>
  <si>
    <t>ABR-ECL</t>
  </si>
  <si>
    <t>materiál</t>
  </si>
  <si>
    <t>S 355</t>
  </si>
  <si>
    <t>NH 1570/60</t>
  </si>
  <si>
    <t>NS 1570/60</t>
  </si>
  <si>
    <t>R110</t>
  </si>
  <si>
    <t>100x100x6 S380/S355</t>
  </si>
  <si>
    <t>update 19/2/2024</t>
  </si>
  <si>
    <t>dno HARDOX 400/stěny STRENX 700</t>
  </si>
  <si>
    <t>změna na 500 mm 28/4/2023</t>
  </si>
  <si>
    <t>VP150 (45/45 st.)</t>
  </si>
  <si>
    <t>ohýbaný profil STRENX 700</t>
  </si>
  <si>
    <t>zadní sloupek</t>
  </si>
  <si>
    <t>výztuha bočnice</t>
  </si>
  <si>
    <t>JE 180x100x6 S355</t>
  </si>
  <si>
    <t>1 x horizontální profil</t>
  </si>
  <si>
    <t>update 3/2/2025</t>
  </si>
  <si>
    <t>tr 159x6,3</t>
  </si>
  <si>
    <t>rozměry</t>
  </si>
  <si>
    <t>6000/6500/7000</t>
  </si>
  <si>
    <t>výška</t>
  </si>
  <si>
    <t>500/750/1250/1750/2250/2350/2400</t>
  </si>
  <si>
    <t>update 24/2/2023</t>
  </si>
  <si>
    <t>šířka</t>
  </si>
  <si>
    <t>2400 (2300-2530 mm)</t>
  </si>
  <si>
    <t>zapuštěné natahování</t>
  </si>
  <si>
    <t xml:space="preserve">ne </t>
  </si>
  <si>
    <t>rozměry 6500/7000 mm</t>
  </si>
  <si>
    <t>výška 2400 mm</t>
  </si>
  <si>
    <t>šířka 2300 mm</t>
  </si>
  <si>
    <t>ABR-STH</t>
  </si>
  <si>
    <t>aktualizace od</t>
  </si>
  <si>
    <t>ABR-HBI</t>
  </si>
  <si>
    <t>VP250 (45/45 st.)</t>
  </si>
  <si>
    <t>jekl 100x80x6 S355</t>
  </si>
  <si>
    <t xml:space="preserve"> </t>
  </si>
  <si>
    <t>5/3 HB 450</t>
  </si>
  <si>
    <t>4/3 HB 450</t>
  </si>
  <si>
    <t>5/4/3 aj.</t>
  </si>
  <si>
    <t>mezivýztuha IPN x podlaha 5 mm</t>
  </si>
  <si>
    <t>klapka (KLP) 500 mm</t>
  </si>
  <si>
    <t>2křídlá (zavírání VSH)</t>
  </si>
  <si>
    <t>ano/300 mm/10mm</t>
  </si>
  <si>
    <t>NA 1570/60</t>
  </si>
  <si>
    <t>ano 80x60x4</t>
  </si>
  <si>
    <t>délky</t>
  </si>
  <si>
    <t>5500/5750/6000/6250</t>
  </si>
  <si>
    <t>výšky</t>
  </si>
  <si>
    <t>650/750</t>
  </si>
  <si>
    <t>100x100x6 S355 (kod JE100)</t>
  </si>
  <si>
    <t>ohýbaný profil S700/6mm</t>
  </si>
  <si>
    <t>U 100x60x4 S355</t>
  </si>
  <si>
    <t>2 křídlá</t>
  </si>
  <si>
    <t>Zámek páky</t>
  </si>
  <si>
    <t>kod PA</t>
  </si>
  <si>
    <t>Výztuha KOVOŠROT ve vratech</t>
  </si>
  <si>
    <t>6500/7000</t>
  </si>
  <si>
    <t>výšky cca</t>
  </si>
  <si>
    <t>750/1250/1500/2250/2300/2350/2400</t>
  </si>
  <si>
    <t xml:space="preserve">trubka mezí ližiny </t>
  </si>
  <si>
    <t>výztuha mezí rolna a ližina</t>
  </si>
  <si>
    <t xml:space="preserve">2300 na hoře /2420 uprostřed </t>
  </si>
  <si>
    <t>Upřesnit</t>
  </si>
  <si>
    <t>ABR-HBI-TSR</t>
  </si>
  <si>
    <t>OHNUTÝ PROFIL Z PLECHU QSTE690 6mm (kod OPQ6)</t>
  </si>
  <si>
    <t>Holandské (kod VNL)</t>
  </si>
  <si>
    <t>deska na čip GPS</t>
  </si>
  <si>
    <t>kod PR8</t>
  </si>
  <si>
    <t>Tabukka "TSR" - vrata/čelo</t>
  </si>
  <si>
    <t>Reklama na bočnice</t>
  </si>
  <si>
    <t>Výřez / díry na čele</t>
  </si>
  <si>
    <t>1250/2400</t>
  </si>
  <si>
    <t>zvážit verzi s lyžinou z UPN 220</t>
  </si>
  <si>
    <t>natahování ala ALST</t>
  </si>
  <si>
    <t>ABR-HBS</t>
  </si>
  <si>
    <t>5/5 HARDOX 450</t>
  </si>
  <si>
    <t>4/4 HARDOX 450</t>
  </si>
  <si>
    <t>5 mm/Qste 690</t>
  </si>
  <si>
    <t>výztuhy podlahy</t>
  </si>
  <si>
    <t>podélně s lyžinami</t>
  </si>
  <si>
    <t>U 100x70x5</t>
  </si>
  <si>
    <t>klapka zvýšená (KLZ)</t>
  </si>
  <si>
    <t>klapka hydraulická (KH)</t>
  </si>
  <si>
    <t>5500/5750/6000/6250/6500</t>
  </si>
  <si>
    <t>800/1000/1250</t>
  </si>
  <si>
    <t>ABR-HDC</t>
  </si>
  <si>
    <t>U 150x50x5 S355</t>
  </si>
  <si>
    <t>U 400x70x8 S355</t>
  </si>
  <si>
    <t>klapka KLHDC</t>
  </si>
  <si>
    <t>5500/5750/6000</t>
  </si>
  <si>
    <t>5/3 S355</t>
  </si>
  <si>
    <t>U 120x60x3 S355</t>
  </si>
  <si>
    <t>U 120x60x4</t>
  </si>
  <si>
    <t>rolny 2 ks délka 200 mm</t>
  </si>
  <si>
    <t>40 mm (CR 200/40)</t>
  </si>
  <si>
    <t xml:space="preserve">ano/2křídla </t>
  </si>
  <si>
    <t>ABR-PLATA</t>
  </si>
  <si>
    <t>délka</t>
  </si>
  <si>
    <t>šířka vnější</t>
  </si>
  <si>
    <t>2500 mm</t>
  </si>
  <si>
    <t>upřsnit asi jít na max</t>
  </si>
  <si>
    <t>provedení s plechem</t>
  </si>
  <si>
    <t>slzičkový plech 5 mm</t>
  </si>
  <si>
    <t>provedení s překližka</t>
  </si>
  <si>
    <t>bříz multiplex 27 mm</t>
  </si>
  <si>
    <t>výška klanic</t>
  </si>
  <si>
    <t>upřesníme max 2 délky</t>
  </si>
  <si>
    <t xml:space="preserve">přední čelo </t>
  </si>
  <si>
    <t>vytažené po vrch natahování</t>
  </si>
  <si>
    <t>profil výztuh boky</t>
  </si>
  <si>
    <t>rozteč výztuh podlaha</t>
  </si>
  <si>
    <t>ca 500 dle formátů překližky</t>
  </si>
  <si>
    <t>profil výztuh podlaha</t>
  </si>
  <si>
    <t>jakl 60x60x6</t>
  </si>
  <si>
    <t>ABRTH</t>
  </si>
  <si>
    <t>5500/6000/6500</t>
  </si>
  <si>
    <t>Martin upřesní dle formátů</t>
  </si>
  <si>
    <t>výška vnitřní mm</t>
  </si>
  <si>
    <t>50 mm</t>
  </si>
  <si>
    <t>1400 mm</t>
  </si>
  <si>
    <t>uvazovací prvky</t>
  </si>
  <si>
    <t>dořešit (zboku, zapuštěné)</t>
  </si>
  <si>
    <t>4/4 st 52</t>
  </si>
  <si>
    <t>90°/s vnitřní šikminou</t>
  </si>
  <si>
    <t>ano/vlevo ve směru jízdy sklápěcí</t>
  </si>
  <si>
    <t>horní víka</t>
  </si>
  <si>
    <t>ocelové, 6-8 ks dle délky (použít se starší dokumentace)</t>
  </si>
  <si>
    <t>přepážka</t>
  </si>
  <si>
    <t>1 komorové</t>
  </si>
  <si>
    <t>2 komorový (50/50)</t>
  </si>
  <si>
    <t>zadní klapka</t>
  </si>
  <si>
    <t>hranatá s 1 nebo 2 menšími otvory/velká klapka otevíratelná pneu válcem</t>
  </si>
  <si>
    <t xml:space="preserve">SLD </t>
  </si>
  <si>
    <t>objemy</t>
  </si>
  <si>
    <t>2,0 - 4,0 cbm</t>
  </si>
  <si>
    <t>viz. výkresy</t>
  </si>
  <si>
    <t>materiál stěny</t>
  </si>
  <si>
    <t>2 mm pozink DX51D+Z275 MAC</t>
  </si>
  <si>
    <t>materiál střecha</t>
  </si>
  <si>
    <t>3 mm pozink DX51D+Z275 MAC</t>
  </si>
  <si>
    <t>dno</t>
  </si>
  <si>
    <t>3 mm plech S235, žárově zinkovaný</t>
  </si>
  <si>
    <t>systém vyprazdňování</t>
  </si>
  <si>
    <t>řetězový na sklo/táhla na papír a plasty</t>
  </si>
  <si>
    <t>vícekomorové provedení</t>
  </si>
  <si>
    <t>modo/duo/triglo</t>
  </si>
  <si>
    <t>vyprazdňování</t>
  </si>
  <si>
    <t>2 nebo 3 háky/hřibový systém (kinshofer)</t>
  </si>
  <si>
    <t>povrchová úprava</t>
  </si>
  <si>
    <t>pozink plech/svařované dílce žárově zinkované</t>
  </si>
  <si>
    <t>lakované dle RAL (2K barva)</t>
  </si>
  <si>
    <t>vhozy</t>
  </si>
  <si>
    <t>gumové rozety/vhozy na papír 400x??? mm</t>
  </si>
  <si>
    <t>dle požadavku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</si>
</sst>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30">
    <font>
      <sz val="11.0"/>
      <color rgb="FF000000"/>
      <name val="Calibri"/>
    </font>
    <font>
      <sz val="10.0"/>
      <color rgb="FF222222"/>
      <name val="Arial"/>
    </font>
    <font>
      <b/>
      <sz val="12.0"/>
      <name val="Calibri"/>
    </font>
    <font>
      <sz val="11.0"/>
      <color rgb="FFFF0000"/>
      <name val="Calibri"/>
    </font>
    <font>
      <b/>
      <sz val="11.0"/>
      <name val="Calibri"/>
    </font>
    <font>
      <b/>
      <i/>
      <sz val="11.0"/>
      <name val="Calibri"/>
    </font>
    <font/>
    <font>
      <b/>
      <i/>
      <sz val="12.0"/>
      <name val="Calibri"/>
    </font>
    <font>
      <b/>
      <sz val="28.0"/>
      <color rgb="FF6AA84F"/>
      <name val="Calibri"/>
    </font>
    <font>
      <b/>
      <i/>
      <sz val="11.0"/>
      <color rgb="FFFF0000"/>
      <name val="Calibri"/>
    </font>
    <font>
      <b/>
      <sz val="28.0"/>
      <color rgb="FF000000"/>
      <name val="Calibri"/>
    </font>
    <font>
      <b/>
      <sz val="28.0"/>
      <color rgb="FF9900FF"/>
      <name val="Calibri"/>
    </font>
    <font>
      <b/>
      <u/>
      <sz val="11.0"/>
      <color rgb="FF0000FF"/>
      <name val="Calibri"/>
    </font>
    <font>
      <i/>
      <sz val="16.0"/>
      <color rgb="FFFF0000"/>
    </font>
    <font>
      <b/>
      <sz val="11.0"/>
      <color rgb="FF000000"/>
      <name val="Arial"/>
    </font>
    <font>
      <sz val="14.0"/>
      <color rgb="FF000000"/>
      <name val="Calibri"/>
    </font>
    <font>
      <b/>
      <sz val="14.0"/>
      <color rgb="FF9900FF"/>
      <name val="Calibri"/>
    </font>
    <font>
      <sz val="14.0"/>
      <name val="Calibri"/>
    </font>
    <font>
      <sz val="10.0"/>
      <name val="Arial"/>
    </font>
    <font>
      <sz val="11.0"/>
      <name val="Calibri"/>
    </font>
    <font>
      <b/>
      <sz val="11.0"/>
      <color rgb="FF9900FF"/>
      <name val="Calibri"/>
    </font>
    <font>
      <b/>
      <color rgb="FF9900FF"/>
    </font>
    <font>
      <b/>
      <sz val="11.0"/>
      <color rgb="FF222222"/>
      <name val="Arial"/>
    </font>
    <font>
      <b/>
      <sz val="13.0"/>
    </font>
    <font>
      <b/>
    </font>
    <font>
      <color rgb="FFFF0000"/>
    </font>
    <font>
      <name val="Arial"/>
    </font>
    <font>
      <b/>
      <i/>
    </font>
    <font>
      <color rgb="FFCC0000"/>
    </font>
    <font>
      <sz val="11.0"/>
      <color rgb="FFCC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horizontal="left"/>
    </xf>
    <xf borderId="0" fillId="0" fontId="0" numFmtId="0" xfId="0" applyAlignment="1" applyFont="1">
      <alignment readingOrder="0" shrinkToFit="0" wrapText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left"/>
    </xf>
    <xf borderId="0" fillId="0" fontId="7" numFmtId="0" xfId="0" applyAlignment="1" applyFont="1">
      <alignment horizontal="left" readingOrder="0"/>
    </xf>
    <xf borderId="0" fillId="0" fontId="0" numFmtId="0" xfId="0" applyAlignment="1" applyFont="1">
      <alignment shrinkToFit="0" wrapText="0"/>
    </xf>
    <xf borderId="0" fillId="0" fontId="0" numFmtId="0" xfId="0" applyAlignment="1" applyFont="1">
      <alignment readingOrder="0" shrinkToFit="0" wrapText="0"/>
    </xf>
    <xf borderId="0" fillId="2" fontId="8" numFmtId="0" xfId="0" applyAlignment="1" applyFill="1" applyFont="1">
      <alignment readingOrder="0" shrinkToFit="0" vertical="bottom" wrapText="0"/>
    </xf>
    <xf borderId="0" fillId="0" fontId="9" numFmtId="0" xfId="0" applyAlignment="1" applyFont="1">
      <alignment horizontal="left" readingOrder="0"/>
    </xf>
    <xf borderId="0" fillId="0" fontId="9" numFmtId="0" xfId="0" applyAlignment="1" applyFont="1">
      <alignment horizontal="left"/>
    </xf>
    <xf borderId="0" fillId="0" fontId="10" numFmtId="49" xfId="0" applyAlignment="1" applyFont="1" applyNumberFormat="1">
      <alignment horizontal="center" readingOrder="0" shrinkToFit="0" wrapText="0"/>
    </xf>
    <xf borderId="0" fillId="0" fontId="10" numFmtId="0" xfId="0" applyAlignment="1" applyFont="1">
      <alignment horizontal="center" readingOrder="0" shrinkToFit="0" wrapText="0"/>
    </xf>
    <xf borderId="0" fillId="0" fontId="11" numFmtId="49" xfId="0" applyAlignment="1" applyFont="1" applyNumberFormat="1">
      <alignment horizontal="center" readingOrder="0" shrinkToFit="0" wrapText="0"/>
    </xf>
    <xf borderId="0" fillId="3" fontId="6" numFmtId="0" xfId="0" applyAlignment="1" applyFill="1" applyFont="1">
      <alignment readingOrder="0"/>
    </xf>
    <xf borderId="0" fillId="3" fontId="12" numFmtId="49" xfId="0" applyAlignment="1" applyFont="1" applyNumberFormat="1">
      <alignment readingOrder="0" shrinkToFit="0" wrapText="0"/>
    </xf>
    <xf borderId="0" fillId="3" fontId="6" numFmtId="0" xfId="0" applyFont="1"/>
    <xf borderId="0" fillId="0" fontId="13" numFmtId="0" xfId="0" applyAlignment="1" applyFont="1">
      <alignment horizontal="right" readingOrder="0" vertical="center"/>
    </xf>
    <xf borderId="0" fillId="4" fontId="10" numFmtId="49" xfId="0" applyAlignment="1" applyFill="1" applyFont="1" applyNumberFormat="1">
      <alignment horizontal="center" readingOrder="0" shrinkToFit="0" wrapText="0"/>
    </xf>
    <xf borderId="0" fillId="0" fontId="0" numFmtId="49" xfId="0" applyAlignment="1" applyFont="1" applyNumberFormat="1">
      <alignment readingOrder="0" shrinkToFit="0" wrapText="0"/>
    </xf>
    <xf borderId="0" fillId="4" fontId="10" numFmtId="0" xfId="0" applyAlignment="1" applyFont="1">
      <alignment horizontal="center" readingOrder="0" shrinkToFit="0" wrapText="0"/>
    </xf>
    <xf borderId="0" fillId="0" fontId="1" numFmtId="0" xfId="0" applyAlignment="1" applyFont="1">
      <alignment readingOrder="0" shrinkToFit="0" wrapText="1"/>
    </xf>
    <xf borderId="0" fillId="5" fontId="11" numFmtId="49" xfId="0" applyAlignment="1" applyFill="1" applyFont="1" applyNumberFormat="1">
      <alignment horizontal="center" readingOrder="0" shrinkToFit="0" wrapText="0"/>
    </xf>
    <xf borderId="0" fillId="0" fontId="14" numFmtId="0" xfId="0" applyAlignment="1" applyFont="1">
      <alignment horizontal="center" readingOrder="0" shrinkToFit="0" textRotation="90" vertical="top" wrapText="0"/>
    </xf>
    <xf borderId="0" fillId="5" fontId="14" numFmtId="0" xfId="0" applyAlignment="1" applyFont="1">
      <alignment horizontal="center" readingOrder="0" shrinkToFit="0" textRotation="90" vertical="top" wrapText="0"/>
    </xf>
    <xf borderId="0" fillId="0" fontId="14" numFmtId="0" xfId="0" applyAlignment="1" applyFont="1">
      <alignment shrinkToFit="0" textRotation="90" vertical="bottom" wrapText="0"/>
    </xf>
    <xf borderId="0" fillId="0" fontId="14" numFmtId="0" xfId="0" applyAlignment="1" applyFont="1">
      <alignment horizontal="right" readingOrder="0" textRotation="90" vertical="top"/>
    </xf>
    <xf borderId="0" fillId="0" fontId="15" numFmtId="49" xfId="0" applyAlignment="1" applyFont="1" applyNumberFormat="1">
      <alignment horizontal="left" readingOrder="0" shrinkToFit="0" wrapText="0"/>
    </xf>
    <xf borderId="0" fillId="0" fontId="6" numFmtId="0" xfId="0" applyAlignment="1" applyFont="1">
      <alignment horizontal="left"/>
    </xf>
    <xf borderId="0" fillId="0" fontId="0" numFmtId="0" xfId="0" applyAlignment="1" applyFont="1">
      <alignment shrinkToFit="0" vertical="bottom" wrapText="0"/>
    </xf>
    <xf borderId="0" fillId="5" fontId="0" numFmtId="0" xfId="0" applyAlignment="1" applyFont="1">
      <alignment shrinkToFit="0" vertical="bottom" wrapText="0"/>
    </xf>
    <xf borderId="0" fillId="0" fontId="15" numFmtId="49" xfId="0" applyAlignment="1" applyFont="1" applyNumberFormat="1">
      <alignment horizontal="center" readingOrder="0" shrinkToFit="0" wrapText="0"/>
    </xf>
    <xf borderId="0" fillId="6" fontId="1" numFmtId="0" xfId="0" applyAlignment="1" applyFill="1" applyFont="1">
      <alignment readingOrder="0" shrinkToFit="0" wrapText="1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horizontal="center" readingOrder="0" shrinkToFit="0" vertical="bottom" wrapText="0"/>
    </xf>
    <xf borderId="0" fillId="5" fontId="16" numFmtId="0" xfId="0" applyAlignment="1" applyFont="1">
      <alignment horizontal="center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6" fontId="0" numFmtId="49" xfId="0" applyAlignment="1" applyFont="1" applyNumberFormat="1">
      <alignment readingOrder="0" shrinkToFit="0" wrapText="0"/>
    </xf>
    <xf borderId="0" fillId="6" fontId="1" numFmtId="0" xfId="0" applyAlignment="1" applyFont="1">
      <alignment shrinkToFit="0" wrapText="1"/>
    </xf>
    <xf borderId="0" fillId="0" fontId="15" numFmtId="0" xfId="0" applyAlignment="1" applyFont="1">
      <alignment horizontal="center" shrinkToFit="0" vertical="bottom" wrapText="0"/>
    </xf>
    <xf borderId="0" fillId="5" fontId="16" numFmtId="0" xfId="0" applyAlignment="1" applyFont="1">
      <alignment horizontal="center" shrinkToFit="0" vertical="bottom" wrapText="0"/>
    </xf>
    <xf borderId="0" fillId="0" fontId="17" numFmtId="49" xfId="0" applyAlignment="1" applyFont="1" applyNumberFormat="1">
      <alignment horizontal="left" readingOrder="0" shrinkToFit="0" wrapText="0"/>
    </xf>
    <xf borderId="0" fillId="0" fontId="0" numFmtId="49" xfId="0" applyAlignment="1" applyFont="1" applyNumberFormat="1">
      <alignment shrinkToFit="0" wrapText="0"/>
    </xf>
    <xf borderId="0" fillId="0" fontId="18" numFmtId="0" xfId="0" applyAlignment="1" applyFont="1">
      <alignment readingOrder="0" shrinkToFit="0" wrapText="1"/>
    </xf>
    <xf borderId="0" fillId="0" fontId="19" numFmtId="49" xfId="0" applyAlignment="1" applyFont="1" applyNumberFormat="1">
      <alignment readingOrder="0" shrinkToFit="0" wrapText="0"/>
    </xf>
    <xf borderId="0" fillId="0" fontId="19" numFmtId="0" xfId="0" applyAlignment="1" applyFont="1">
      <alignment vertical="bottom"/>
    </xf>
    <xf borderId="0" fillId="5" fontId="20" numFmtId="0" xfId="0" applyAlignment="1" applyFont="1">
      <alignment vertical="bottom"/>
    </xf>
    <xf borderId="0" fillId="0" fontId="19" numFmtId="0" xfId="0" applyAlignment="1" applyFont="1">
      <alignment shrinkToFit="0" vertical="bottom" wrapText="0"/>
    </xf>
    <xf borderId="0" fillId="0" fontId="19" numFmtId="49" xfId="0" applyAlignment="1" applyFont="1" applyNumberFormat="1">
      <alignment vertical="bottom"/>
    </xf>
    <xf borderId="0" fillId="5" fontId="21" numFmtId="0" xfId="0" applyFont="1"/>
    <xf borderId="0" fillId="0" fontId="6" numFmtId="0" xfId="0" applyAlignment="1" applyFont="1">
      <alignment shrinkToFit="0" wrapText="0"/>
    </xf>
    <xf borderId="0" fillId="0" fontId="22" numFmtId="0" xfId="0" applyFont="1"/>
    <xf borderId="0" fillId="7" fontId="23" numFmtId="0" xfId="0" applyAlignment="1" applyFill="1" applyFont="1">
      <alignment horizontal="center" readingOrder="0"/>
    </xf>
    <xf borderId="0" fillId="7" fontId="23" numFmtId="0" xfId="0" applyAlignment="1" applyFont="1">
      <alignment horizontal="center"/>
    </xf>
    <xf borderId="0" fillId="8" fontId="6" numFmtId="0" xfId="0" applyAlignment="1" applyFill="1" applyFont="1">
      <alignment readingOrder="0"/>
    </xf>
    <xf borderId="0" fillId="8" fontId="6" numFmtId="0" xfId="0" applyFont="1"/>
    <xf borderId="0" fillId="2" fontId="6" numFmtId="0" xfId="0" applyAlignment="1" applyFont="1">
      <alignment readingOrder="0"/>
    </xf>
    <xf borderId="0" fillId="2" fontId="6" numFmtId="0" xfId="0" applyFont="1"/>
    <xf borderId="0" fillId="0" fontId="24" numFmtId="0" xfId="0" applyAlignment="1" applyFont="1">
      <alignment readingOrder="0"/>
    </xf>
    <xf borderId="0" fillId="0" fontId="24" numFmtId="0" xfId="0" applyAlignment="1" applyFont="1">
      <alignment horizontal="center" readingOrder="0"/>
    </xf>
    <xf borderId="0" fillId="0" fontId="6" numFmtId="164" xfId="0" applyAlignment="1" applyFont="1" applyNumberFormat="1">
      <alignment horizontal="center" readingOrder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left" readingOrder="0"/>
    </xf>
    <xf borderId="0" fillId="0" fontId="19" numFmtId="0" xfId="0" applyAlignment="1" applyFont="1">
      <alignment vertical="bottom"/>
    </xf>
    <xf borderId="0" fillId="0" fontId="19" numFmtId="0" xfId="0" applyAlignment="1" applyFont="1">
      <alignment horizontal="center" readingOrder="0" vertical="bottom"/>
    </xf>
    <xf borderId="0" fillId="0" fontId="0" numFmtId="0" xfId="0" applyAlignment="1" applyFont="1">
      <alignment shrinkToFit="0" wrapText="0"/>
    </xf>
    <xf borderId="0" fillId="0" fontId="19" numFmtId="0" xfId="0" applyAlignment="1" applyFont="1">
      <alignment horizontal="center" vertical="bottom"/>
    </xf>
    <xf borderId="0" fillId="0" fontId="25" numFmtId="0" xfId="0" applyAlignment="1" applyFont="1">
      <alignment horizontal="center" readingOrder="0"/>
    </xf>
    <xf borderId="0" fillId="0" fontId="26" numFmtId="0" xfId="0" applyAlignment="1" applyFont="1">
      <alignment vertical="bottom"/>
    </xf>
    <xf borderId="0" fillId="0" fontId="25" numFmtId="0" xfId="0" applyAlignment="1" applyFont="1">
      <alignment readingOrder="0"/>
    </xf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center" readingOrder="0" shrinkToFit="0" vertical="bottom" wrapText="0"/>
    </xf>
    <xf borderId="0" fillId="3" fontId="6" numFmtId="0" xfId="0" applyAlignment="1" applyFont="1">
      <alignment horizontal="center" readingOrder="0"/>
    </xf>
    <xf borderId="0" fillId="0" fontId="27" numFmtId="0" xfId="0" applyAlignment="1" applyFont="1">
      <alignment readingOrder="0"/>
    </xf>
    <xf borderId="0" fillId="0" fontId="6" numFmtId="0" xfId="0" applyAlignment="1" applyFont="1">
      <alignment horizontal="right" readingOrder="0"/>
    </xf>
    <xf borderId="0" fillId="0" fontId="6" numFmtId="14" xfId="0" applyAlignment="1" applyFont="1" applyNumberFormat="1">
      <alignment horizontal="left" readingOrder="0"/>
    </xf>
    <xf borderId="0" fillId="3" fontId="24" numFmtId="0" xfId="0" applyAlignment="1" applyFont="1">
      <alignment readingOrder="0"/>
    </xf>
    <xf borderId="0" fillId="3" fontId="24" numFmtId="0" xfId="0" applyAlignment="1" applyFont="1">
      <alignment horizontal="center" readingOrder="0"/>
    </xf>
    <xf borderId="0" fillId="3" fontId="6" numFmtId="0" xfId="0" applyAlignment="1" applyFont="1">
      <alignment horizontal="center"/>
    </xf>
    <xf borderId="0" fillId="9" fontId="6" numFmtId="0" xfId="0" applyAlignment="1" applyFill="1" applyFont="1">
      <alignment readingOrder="0"/>
    </xf>
    <xf borderId="0" fillId="9" fontId="6" numFmtId="0" xfId="0" applyAlignment="1" applyFont="1">
      <alignment horizontal="center" readingOrder="0"/>
    </xf>
    <xf borderId="0" fillId="9" fontId="6" numFmtId="0" xfId="0" applyAlignment="1" applyFont="1">
      <alignment horizontal="center"/>
    </xf>
    <xf borderId="0" fillId="9" fontId="6" numFmtId="0" xfId="0" applyFont="1"/>
    <xf borderId="0" fillId="9" fontId="19" numFmtId="0" xfId="0" applyAlignment="1" applyFont="1">
      <alignment horizontal="center" vertical="bottom"/>
    </xf>
    <xf borderId="0" fillId="9" fontId="19" numFmtId="0" xfId="0" applyAlignment="1" applyFont="1">
      <alignment vertical="bottom"/>
    </xf>
    <xf borderId="0" fillId="9" fontId="19" numFmtId="0" xfId="0" applyAlignment="1" applyFont="1">
      <alignment horizontal="center" vertical="bottom"/>
    </xf>
    <xf borderId="0" fillId="9" fontId="19" numFmtId="0" xfId="0" applyAlignment="1" applyFont="1">
      <alignment vertical="bottom"/>
    </xf>
    <xf borderId="0" fillId="9" fontId="26" numFmtId="0" xfId="0" applyAlignment="1" applyFont="1">
      <alignment vertical="bottom"/>
    </xf>
    <xf borderId="0" fillId="9" fontId="19" numFmtId="0" xfId="0" applyAlignment="1" applyFont="1">
      <alignment horizontal="center" readingOrder="0" vertical="bottom"/>
    </xf>
    <xf borderId="0" fillId="9" fontId="6" numFmtId="0" xfId="0" applyAlignment="1" applyFont="1">
      <alignment horizontal="left" readingOrder="0"/>
    </xf>
    <xf borderId="0" fillId="4" fontId="6" numFmtId="0" xfId="0" applyAlignment="1" applyFont="1">
      <alignment readingOrder="0"/>
    </xf>
    <xf borderId="0" fillId="4" fontId="6" numFmtId="0" xfId="0" applyAlignment="1" applyFont="1">
      <alignment horizontal="center" readingOrder="0"/>
    </xf>
    <xf borderId="0" fillId="4" fontId="19" numFmtId="0" xfId="0" applyAlignment="1" applyFont="1">
      <alignment horizontal="center" readingOrder="0" vertical="bottom"/>
    </xf>
    <xf borderId="0" fillId="4" fontId="6" numFmtId="0" xfId="0" applyFont="1"/>
    <xf borderId="0" fillId="4" fontId="28" numFmtId="0" xfId="0" applyAlignment="1" applyFont="1">
      <alignment horizontal="center" readingOrder="0"/>
    </xf>
    <xf borderId="0" fillId="4" fontId="19" numFmtId="0" xfId="0" applyAlignment="1" applyFont="1">
      <alignment horizontal="center" vertical="bottom"/>
    </xf>
    <xf borderId="0" fillId="4" fontId="19" numFmtId="0" xfId="0" applyAlignment="1" applyFont="1">
      <alignment horizontal="center" vertical="bottom"/>
    </xf>
    <xf borderId="0" fillId="4" fontId="19" numFmtId="0" xfId="0" applyAlignment="1" applyFont="1">
      <alignment vertical="bottom"/>
    </xf>
    <xf borderId="0" fillId="4" fontId="19" numFmtId="0" xfId="0" applyAlignment="1" applyFont="1">
      <alignment vertical="bottom"/>
    </xf>
    <xf borderId="0" fillId="4" fontId="29" numFmtId="0" xfId="0" applyAlignment="1" applyFont="1">
      <alignment horizontal="center" readingOrder="0" vertical="bottom"/>
    </xf>
    <xf borderId="0" fillId="4" fontId="6" numFmtId="0" xfId="0" applyAlignment="1" applyFont="1">
      <alignment horizontal="left"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2/d/e/2PACX-1vTsULC59T_cV9lUVM3Xd8vq1hGNueT4rAn3HZ7K4DhvjzHikdvtYtlNhfZrZ0XQyfd1QuDreTVLcBJO/pubhtml?gid=102406751&amp;single=tru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7.29" defaultRowHeight="15.0"/>
  <cols>
    <col customWidth="1" min="1" max="1" width="31.29"/>
    <col customWidth="1" min="2" max="2" width="75.43"/>
    <col customWidth="1" min="3" max="3" width="138.0"/>
    <col customWidth="1" min="4" max="4" width="8.71"/>
    <col customWidth="1" min="5" max="5" width="12.57"/>
    <col customWidth="1" min="6" max="13" width="8.71"/>
    <col customWidth="1" min="14" max="14" width="16.57"/>
    <col customWidth="1" min="15" max="15" width="28.57"/>
    <col customWidth="1" min="16" max="26" width="8.71"/>
  </cols>
  <sheetData>
    <row r="1">
      <c r="A1" s="1"/>
      <c r="B1" s="19" t="s">
        <v>2</v>
      </c>
    </row>
    <row r="2">
      <c r="A2" s="1" t="s">
        <v>39</v>
      </c>
      <c r="B2" s="23" t="s">
        <v>40</v>
      </c>
    </row>
    <row r="3">
      <c r="A3" s="25" t="s">
        <v>46</v>
      </c>
      <c r="B3" s="23" t="s">
        <v>50</v>
      </c>
      <c r="L3" s="10"/>
    </row>
    <row r="4">
      <c r="A4" s="1" t="s">
        <v>55</v>
      </c>
      <c r="B4" s="23" t="s">
        <v>58</v>
      </c>
      <c r="L4" s="10"/>
    </row>
    <row r="5">
      <c r="A5" s="1" t="s">
        <v>63</v>
      </c>
      <c r="B5" s="23" t="s">
        <v>65</v>
      </c>
      <c r="L5" s="10"/>
    </row>
    <row r="6">
      <c r="A6" s="1" t="s">
        <v>70</v>
      </c>
      <c r="B6" s="23" t="s">
        <v>72</v>
      </c>
      <c r="C6" s="7" t="s">
        <v>73</v>
      </c>
      <c r="L6" s="10"/>
    </row>
    <row r="7">
      <c r="A7" s="1" t="s">
        <v>77</v>
      </c>
      <c r="B7" s="23" t="s">
        <v>79</v>
      </c>
      <c r="L7" s="10"/>
    </row>
    <row r="8">
      <c r="A8" s="25" t="s">
        <v>84</v>
      </c>
      <c r="B8" s="23" t="s">
        <v>87</v>
      </c>
      <c r="L8" s="10"/>
    </row>
    <row r="9">
      <c r="A9" s="25" t="s">
        <v>91</v>
      </c>
      <c r="B9" s="23" t="s">
        <v>92</v>
      </c>
    </row>
    <row r="10">
      <c r="A10" s="1" t="s">
        <v>95</v>
      </c>
      <c r="B10" s="23" t="s">
        <v>96</v>
      </c>
      <c r="L10" s="5"/>
    </row>
    <row r="11">
      <c r="A11" s="36" t="s">
        <v>101</v>
      </c>
      <c r="B11" s="41" t="s">
        <v>107</v>
      </c>
      <c r="L11" s="5"/>
    </row>
    <row r="12">
      <c r="A12" s="42" t="s">
        <v>156</v>
      </c>
      <c r="B12" s="41" t="s">
        <v>161</v>
      </c>
      <c r="L12" s="5"/>
    </row>
    <row r="13">
      <c r="A13" s="42" t="s">
        <v>165</v>
      </c>
      <c r="B13" s="41" t="s">
        <v>167</v>
      </c>
      <c r="L13" s="10"/>
    </row>
    <row r="14">
      <c r="A14" s="1" t="s">
        <v>171</v>
      </c>
      <c r="B14" s="23" t="s">
        <v>173</v>
      </c>
    </row>
    <row r="15">
      <c r="A15" s="25" t="s">
        <v>175</v>
      </c>
      <c r="B15" s="23" t="s">
        <v>176</v>
      </c>
    </row>
    <row r="16">
      <c r="A16" s="25" t="s">
        <v>180</v>
      </c>
      <c r="B16" s="23" t="s">
        <v>182</v>
      </c>
    </row>
    <row r="17">
      <c r="A17" s="25" t="s">
        <v>186</v>
      </c>
      <c r="B17" s="23" t="s">
        <v>188</v>
      </c>
    </row>
    <row r="18">
      <c r="A18" s="1" t="s">
        <v>191</v>
      </c>
      <c r="B18" s="23" t="s">
        <v>192</v>
      </c>
    </row>
    <row r="19">
      <c r="A19" s="25" t="s">
        <v>194</v>
      </c>
      <c r="B19" s="23" t="s">
        <v>195</v>
      </c>
    </row>
    <row r="20">
      <c r="A20" s="25" t="s">
        <v>199</v>
      </c>
      <c r="B20" s="23" t="s">
        <v>201</v>
      </c>
    </row>
    <row r="21">
      <c r="A21" s="25" t="s">
        <v>202</v>
      </c>
      <c r="B21" s="23" t="s">
        <v>204</v>
      </c>
    </row>
    <row r="22">
      <c r="A22" s="25" t="s">
        <v>208</v>
      </c>
      <c r="B22" s="23" t="s">
        <v>210</v>
      </c>
    </row>
    <row r="23">
      <c r="A23" s="25" t="s">
        <v>213</v>
      </c>
      <c r="B23" s="23" t="s">
        <v>215</v>
      </c>
    </row>
    <row r="24">
      <c r="A24" s="1" t="s">
        <v>218</v>
      </c>
      <c r="B24" s="23" t="s">
        <v>220</v>
      </c>
      <c r="L24" s="10"/>
    </row>
    <row r="25">
      <c r="A25" s="1" t="s">
        <v>225</v>
      </c>
      <c r="B25" s="46" t="s">
        <v>227</v>
      </c>
    </row>
    <row r="26">
      <c r="A26" s="25" t="s">
        <v>234</v>
      </c>
      <c r="B26" s="23" t="s">
        <v>236</v>
      </c>
    </row>
    <row r="27">
      <c r="A27" s="47" t="s">
        <v>239</v>
      </c>
      <c r="B27" s="48" t="s">
        <v>245</v>
      </c>
    </row>
    <row r="28">
      <c r="A28" s="25" t="s">
        <v>249</v>
      </c>
      <c r="B28" s="23" t="s">
        <v>251</v>
      </c>
    </row>
    <row r="29">
      <c r="A29" s="25" t="s">
        <v>254</v>
      </c>
      <c r="B29" s="23" t="s">
        <v>256</v>
      </c>
      <c r="C29" s="7"/>
    </row>
    <row r="35">
      <c r="A35" s="7" t="s">
        <v>264</v>
      </c>
    </row>
    <row r="36">
      <c r="A36" s="7" t="s">
        <v>268</v>
      </c>
    </row>
    <row r="37">
      <c r="A37" s="7" t="s">
        <v>270</v>
      </c>
    </row>
    <row r="38">
      <c r="A38" s="7" t="s">
        <v>274</v>
      </c>
    </row>
    <row r="39">
      <c r="A39" s="7" t="s">
        <v>276</v>
      </c>
    </row>
    <row r="40">
      <c r="A40" s="7" t="s">
        <v>280</v>
      </c>
    </row>
    <row r="41">
      <c r="A41" s="7" t="s">
        <v>284</v>
      </c>
    </row>
    <row r="42">
      <c r="A42" s="7" t="s">
        <v>286</v>
      </c>
    </row>
    <row r="44">
      <c r="A44" s="7" t="s">
        <v>290</v>
      </c>
    </row>
    <row r="45">
      <c r="A45" s="7" t="s">
        <v>293</v>
      </c>
    </row>
    <row r="46">
      <c r="A46" s="7" t="s">
        <v>297</v>
      </c>
    </row>
    <row r="47">
      <c r="A47" s="7" t="s">
        <v>300</v>
      </c>
    </row>
    <row r="48">
      <c r="A48" s="7" t="s">
        <v>303</v>
      </c>
    </row>
    <row r="50">
      <c r="A50" s="7" t="s">
        <v>308</v>
      </c>
    </row>
    <row r="51">
      <c r="A51" s="7" t="s">
        <v>311</v>
      </c>
    </row>
    <row r="53">
      <c r="A53" s="7" t="s">
        <v>314</v>
      </c>
    </row>
    <row r="54">
      <c r="A54" s="7" t="s">
        <v>316</v>
      </c>
    </row>
    <row r="55">
      <c r="A55" s="7" t="s">
        <v>319</v>
      </c>
    </row>
    <row r="57">
      <c r="A57" s="7" t="s">
        <v>322</v>
      </c>
    </row>
    <row r="59">
      <c r="A59" s="7" t="s">
        <v>327</v>
      </c>
    </row>
    <row r="60">
      <c r="A60" s="7" t="s">
        <v>335</v>
      </c>
      <c r="B60" s="7" t="s">
        <v>336</v>
      </c>
    </row>
    <row r="61">
      <c r="A61" s="7" t="s">
        <v>339</v>
      </c>
    </row>
    <row r="63">
      <c r="A63" s="7" t="s">
        <v>343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5">
      <c r="A65" s="7" t="s">
        <v>354</v>
      </c>
    </row>
    <row r="67">
      <c r="A67" s="7" t="s">
        <v>356</v>
      </c>
    </row>
    <row r="68">
      <c r="A68" s="7" t="s">
        <v>357</v>
      </c>
    </row>
    <row r="69">
      <c r="A69" s="7" t="s">
        <v>362</v>
      </c>
    </row>
    <row r="70">
      <c r="A70" s="7" t="s">
        <v>364</v>
      </c>
    </row>
    <row r="72">
      <c r="A72" s="7" t="s">
        <v>368</v>
      </c>
    </row>
    <row r="73">
      <c r="A73" s="7" t="s">
        <v>369</v>
      </c>
    </row>
    <row r="74">
      <c r="A74" s="7" t="s">
        <v>370</v>
      </c>
    </row>
    <row r="75">
      <c r="A75" s="55"/>
    </row>
    <row r="76">
      <c r="A76" s="7" t="s">
        <v>371</v>
      </c>
    </row>
    <row r="78">
      <c r="A78" s="7" t="s">
        <v>372</v>
      </c>
    </row>
    <row r="80">
      <c r="A80" s="7" t="s">
        <v>373</v>
      </c>
    </row>
    <row r="82">
      <c r="A82" s="7" t="s">
        <v>374</v>
      </c>
    </row>
    <row r="83">
      <c r="A83" s="7" t="s">
        <v>375</v>
      </c>
    </row>
    <row r="85">
      <c r="A85" s="7" t="s">
        <v>376</v>
      </c>
    </row>
    <row r="853">
      <c r="A853" s="70"/>
      <c r="B853" s="46"/>
      <c r="C853" s="10"/>
    </row>
    <row r="854">
      <c r="A854" s="10"/>
      <c r="B854" s="46"/>
      <c r="C854" s="10"/>
    </row>
    <row r="855">
      <c r="A855" s="10"/>
      <c r="B855" s="46"/>
      <c r="C855" s="10"/>
    </row>
    <row r="856">
      <c r="A856" s="10"/>
      <c r="B856" s="46"/>
      <c r="C856" s="10"/>
    </row>
    <row r="857">
      <c r="A857" s="10"/>
      <c r="B857" s="46"/>
      <c r="C857" s="10"/>
    </row>
    <row r="858">
      <c r="A858" s="10"/>
      <c r="B858" s="46"/>
      <c r="C858" s="10"/>
    </row>
    <row r="859">
      <c r="A859" s="10"/>
      <c r="B859" s="46"/>
      <c r="C859" s="10"/>
    </row>
    <row r="860">
      <c r="A860" s="10"/>
      <c r="B860" s="46"/>
      <c r="C860" s="10"/>
    </row>
    <row r="861">
      <c r="A861" s="10"/>
      <c r="B861" s="46"/>
      <c r="C861" s="10"/>
    </row>
    <row r="862">
      <c r="A862" s="10"/>
      <c r="B862" s="46"/>
      <c r="C862" s="10"/>
    </row>
    <row r="863">
      <c r="A863" s="10"/>
      <c r="B863" s="46"/>
      <c r="C863" s="10"/>
    </row>
    <row r="864">
      <c r="A864" s="10"/>
      <c r="B864" s="46"/>
      <c r="C864" s="10"/>
    </row>
    <row r="865">
      <c r="A865" s="10"/>
      <c r="B865" s="46"/>
      <c r="C865" s="10"/>
    </row>
    <row r="866">
      <c r="A866" s="10"/>
      <c r="B866" s="46"/>
      <c r="C866" s="10"/>
    </row>
    <row r="867">
      <c r="A867" s="10"/>
      <c r="B867" s="46"/>
      <c r="C867" s="10"/>
    </row>
    <row r="868">
      <c r="A868" s="10"/>
      <c r="B868" s="46"/>
      <c r="C868" s="10"/>
    </row>
    <row r="869">
      <c r="A869" s="10"/>
      <c r="B869" s="46"/>
      <c r="C869" s="10"/>
    </row>
    <row r="870">
      <c r="A870" s="10"/>
      <c r="B870" s="46"/>
      <c r="C870" s="10"/>
    </row>
    <row r="871">
      <c r="A871" s="10"/>
      <c r="B871" s="46"/>
      <c r="C871" s="10"/>
    </row>
    <row r="872">
      <c r="A872" s="10"/>
      <c r="B872" s="46"/>
      <c r="C872" s="10"/>
    </row>
    <row r="873">
      <c r="A873" s="10"/>
      <c r="B873" s="46"/>
      <c r="C873" s="10"/>
    </row>
    <row r="874">
      <c r="A874" s="10"/>
      <c r="B874" s="46"/>
      <c r="C874" s="10"/>
    </row>
    <row r="875">
      <c r="A875" s="10"/>
      <c r="B875" s="46"/>
      <c r="C875" s="10"/>
    </row>
    <row r="876">
      <c r="A876" s="10"/>
      <c r="B876" s="46"/>
      <c r="C876" s="10"/>
    </row>
    <row r="877">
      <c r="A877" s="10"/>
      <c r="B877" s="46"/>
      <c r="C877" s="10"/>
    </row>
    <row r="878">
      <c r="A878" s="10"/>
      <c r="B878" s="46"/>
      <c r="C878" s="10"/>
    </row>
    <row r="879">
      <c r="A879" s="10"/>
      <c r="B879" s="46"/>
      <c r="C879" s="10"/>
    </row>
    <row r="880">
      <c r="A880" s="10"/>
      <c r="B880" s="46"/>
      <c r="C880" s="10"/>
    </row>
    <row r="881">
      <c r="A881" s="10"/>
      <c r="B881" s="46"/>
      <c r="C881" s="10"/>
    </row>
    <row r="882">
      <c r="A882" s="10"/>
      <c r="B882" s="46"/>
      <c r="C882" s="10"/>
    </row>
    <row r="883">
      <c r="A883" s="10"/>
      <c r="B883" s="46"/>
      <c r="C883" s="10"/>
    </row>
    <row r="884">
      <c r="A884" s="10"/>
      <c r="B884" s="46"/>
      <c r="C884" s="10"/>
    </row>
    <row r="885">
      <c r="A885" s="10"/>
      <c r="B885" s="46"/>
      <c r="C885" s="10"/>
    </row>
    <row r="886">
      <c r="A886" s="10"/>
      <c r="B886" s="46"/>
      <c r="C886" s="10"/>
    </row>
    <row r="887">
      <c r="A887" s="10"/>
      <c r="B887" s="46"/>
      <c r="C887" s="10"/>
    </row>
    <row r="888">
      <c r="A888" s="10"/>
      <c r="B888" s="46"/>
      <c r="C888" s="10"/>
    </row>
    <row r="889">
      <c r="A889" s="10"/>
      <c r="B889" s="46"/>
      <c r="C889" s="10"/>
    </row>
    <row r="890">
      <c r="A890" s="10"/>
      <c r="B890" s="46"/>
      <c r="C890" s="10"/>
    </row>
    <row r="891">
      <c r="A891" s="10"/>
      <c r="B891" s="46"/>
      <c r="C891" s="10"/>
    </row>
    <row r="892">
      <c r="A892" s="10"/>
      <c r="B892" s="46"/>
      <c r="C892" s="10"/>
    </row>
    <row r="893">
      <c r="A893" s="10"/>
      <c r="B893" s="46"/>
      <c r="C893" s="10"/>
    </row>
    <row r="894">
      <c r="A894" s="10"/>
      <c r="B894" s="46"/>
      <c r="C894" s="10"/>
    </row>
    <row r="895">
      <c r="A895" s="10"/>
      <c r="B895" s="46"/>
      <c r="C895" s="10"/>
    </row>
    <row r="896">
      <c r="A896" s="10"/>
      <c r="B896" s="46"/>
      <c r="C896" s="10"/>
    </row>
    <row r="897">
      <c r="A897" s="10"/>
      <c r="B897" s="46"/>
      <c r="C897" s="10"/>
    </row>
    <row r="898">
      <c r="A898" s="10"/>
      <c r="B898" s="46"/>
      <c r="C898" s="10"/>
    </row>
    <row r="899">
      <c r="A899" s="10"/>
      <c r="B899" s="46"/>
      <c r="C899" s="10"/>
    </row>
    <row r="900">
      <c r="A900" s="10"/>
      <c r="B900" s="46"/>
      <c r="C900" s="10"/>
    </row>
    <row r="901">
      <c r="A901" s="10"/>
      <c r="B901" s="46"/>
      <c r="C901" s="10"/>
    </row>
    <row r="902">
      <c r="A902" s="10"/>
      <c r="B902" s="46"/>
      <c r="C902" s="10"/>
    </row>
    <row r="903">
      <c r="A903" s="10"/>
      <c r="B903" s="46"/>
      <c r="C903" s="10"/>
    </row>
    <row r="904">
      <c r="A904" s="10"/>
      <c r="B904" s="46"/>
      <c r="C904" s="10"/>
    </row>
    <row r="905">
      <c r="A905" s="10"/>
      <c r="B905" s="46"/>
      <c r="C905" s="10"/>
    </row>
    <row r="906">
      <c r="A906" s="10"/>
      <c r="B906" s="46"/>
      <c r="C906" s="10"/>
    </row>
    <row r="907">
      <c r="A907" s="10"/>
      <c r="B907" s="46"/>
      <c r="C907" s="10"/>
    </row>
    <row r="908">
      <c r="A908" s="10"/>
      <c r="B908" s="46"/>
      <c r="C908" s="10"/>
    </row>
    <row r="909">
      <c r="A909" s="10"/>
      <c r="B909" s="46"/>
      <c r="C909" s="10"/>
    </row>
    <row r="910">
      <c r="A910" s="10"/>
      <c r="B910" s="46"/>
      <c r="C910" s="10"/>
    </row>
    <row r="911">
      <c r="A911" s="10"/>
      <c r="B911" s="46"/>
      <c r="C911" s="10"/>
    </row>
    <row r="912">
      <c r="A912" s="10"/>
      <c r="B912" s="46"/>
      <c r="C912" s="10"/>
    </row>
    <row r="913">
      <c r="A913" s="10"/>
      <c r="B913" s="46"/>
      <c r="C913" s="10"/>
    </row>
    <row r="914">
      <c r="A914" s="10"/>
      <c r="B914" s="46"/>
      <c r="C914" s="10"/>
    </row>
    <row r="915">
      <c r="A915" s="10"/>
      <c r="B915" s="46"/>
      <c r="C915" s="10"/>
    </row>
    <row r="916">
      <c r="A916" s="10"/>
      <c r="B916" s="46"/>
      <c r="C916" s="10"/>
    </row>
    <row r="917">
      <c r="A917" s="10"/>
      <c r="B917" s="46"/>
      <c r="C917" s="10"/>
    </row>
    <row r="918">
      <c r="A918" s="10"/>
      <c r="B918" s="46"/>
      <c r="C918" s="10"/>
    </row>
    <row r="919">
      <c r="A919" s="10"/>
      <c r="B919" s="46"/>
      <c r="C919" s="10"/>
    </row>
    <row r="920">
      <c r="A920" s="10"/>
      <c r="B920" s="46"/>
      <c r="C920" s="10"/>
    </row>
    <row r="921">
      <c r="A921" s="10"/>
      <c r="B921" s="46"/>
      <c r="C921" s="10"/>
    </row>
    <row r="922">
      <c r="A922" s="10"/>
      <c r="B922" s="46"/>
      <c r="C922" s="10"/>
    </row>
    <row r="923">
      <c r="A923" s="10"/>
      <c r="B923" s="46"/>
      <c r="C923" s="10"/>
    </row>
    <row r="924">
      <c r="A924" s="10"/>
      <c r="B924" s="46"/>
      <c r="C924" s="10"/>
    </row>
    <row r="925">
      <c r="A925" s="10"/>
      <c r="B925" s="46"/>
      <c r="C925" s="10"/>
    </row>
    <row r="926">
      <c r="A926" s="10"/>
      <c r="B926" s="46"/>
      <c r="C926" s="10"/>
    </row>
    <row r="927">
      <c r="A927" s="10"/>
      <c r="B927" s="46"/>
      <c r="C927" s="10"/>
    </row>
    <row r="928">
      <c r="A928" s="10"/>
      <c r="B928" s="46"/>
      <c r="C928" s="10"/>
    </row>
    <row r="929">
      <c r="A929" s="10"/>
      <c r="B929" s="46"/>
      <c r="C929" s="10"/>
    </row>
    <row r="930">
      <c r="A930" s="10"/>
      <c r="B930" s="46"/>
      <c r="C930" s="10"/>
    </row>
    <row r="931">
      <c r="A931" s="10"/>
      <c r="B931" s="46"/>
      <c r="C931" s="10"/>
    </row>
    <row r="932">
      <c r="A932" s="10"/>
      <c r="B932" s="46"/>
      <c r="C932" s="10"/>
    </row>
    <row r="933">
      <c r="A933" s="10"/>
      <c r="B933" s="46"/>
      <c r="C933" s="10"/>
    </row>
    <row r="934">
      <c r="A934" s="10"/>
      <c r="B934" s="46"/>
      <c r="C934" s="10"/>
    </row>
    <row r="935">
      <c r="A935" s="10"/>
      <c r="B935" s="46"/>
      <c r="C935" s="10"/>
    </row>
    <row r="936">
      <c r="A936" s="10"/>
      <c r="B936" s="46"/>
      <c r="C936" s="10"/>
    </row>
    <row r="937">
      <c r="A937" s="10"/>
      <c r="B937" s="46"/>
      <c r="C937" s="10"/>
    </row>
    <row r="938">
      <c r="A938" s="10"/>
      <c r="B938" s="46"/>
      <c r="C938" s="10"/>
    </row>
    <row r="939">
      <c r="A939" s="10"/>
      <c r="B939" s="46"/>
      <c r="C939" s="10"/>
    </row>
    <row r="940">
      <c r="A940" s="10"/>
      <c r="B940" s="46"/>
      <c r="C940" s="10"/>
    </row>
    <row r="941">
      <c r="A941" s="10"/>
      <c r="B941" s="46"/>
      <c r="C941" s="10"/>
    </row>
    <row r="942">
      <c r="A942" s="10"/>
      <c r="B942" s="46"/>
      <c r="C942" s="10"/>
    </row>
    <row r="943">
      <c r="A943" s="10"/>
      <c r="B943" s="46"/>
      <c r="C943" s="10"/>
    </row>
    <row r="944">
      <c r="A944" s="10"/>
      <c r="B944" s="46"/>
      <c r="C944" s="10"/>
    </row>
    <row r="945">
      <c r="A945" s="10"/>
      <c r="B945" s="46"/>
      <c r="C945" s="10"/>
    </row>
    <row r="946">
      <c r="A946" s="10"/>
      <c r="B946" s="46"/>
      <c r="C946" s="10"/>
    </row>
    <row r="947">
      <c r="A947" s="10"/>
      <c r="B947" s="46"/>
      <c r="C947" s="10"/>
    </row>
    <row r="948">
      <c r="A948" s="10"/>
      <c r="B948" s="46"/>
      <c r="C948" s="10"/>
    </row>
    <row r="949">
      <c r="A949" s="10"/>
      <c r="B949" s="46"/>
      <c r="C949" s="10"/>
    </row>
    <row r="950">
      <c r="A950" s="10"/>
      <c r="B950" s="46"/>
      <c r="C950" s="10"/>
    </row>
  </sheetData>
  <hyperlinks>
    <hyperlink r:id="rId1" ref="B1"/>
  </hyperlinks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2" t="s">
        <v>0</v>
      </c>
    </row>
    <row r="2">
      <c r="A2" s="4"/>
    </row>
    <row r="3">
      <c r="A3" s="6" t="s">
        <v>4</v>
      </c>
    </row>
    <row r="4">
      <c r="A4" s="8"/>
    </row>
    <row r="5">
      <c r="A5" s="9" t="s">
        <v>7</v>
      </c>
    </row>
    <row r="6">
      <c r="A6" s="8"/>
    </row>
    <row r="7">
      <c r="A7" s="6" t="s">
        <v>8</v>
      </c>
    </row>
    <row r="8">
      <c r="A8" s="8"/>
    </row>
    <row r="9">
      <c r="A9" s="6" t="s">
        <v>10</v>
      </c>
    </row>
    <row r="10">
      <c r="A10" s="8"/>
    </row>
    <row r="11">
      <c r="A11" s="6" t="s">
        <v>12</v>
      </c>
    </row>
    <row r="12">
      <c r="A12" s="8"/>
    </row>
    <row r="13">
      <c r="A13" s="6" t="s">
        <v>14</v>
      </c>
    </row>
    <row r="14">
      <c r="A14" s="8"/>
    </row>
    <row r="15">
      <c r="A15" s="6" t="s">
        <v>16</v>
      </c>
    </row>
    <row r="16">
      <c r="A16" s="8"/>
    </row>
    <row r="17">
      <c r="A17" s="6" t="s">
        <v>18</v>
      </c>
    </row>
    <row r="18">
      <c r="A18" s="8"/>
    </row>
    <row r="19">
      <c r="A19" s="6" t="s">
        <v>20</v>
      </c>
    </row>
    <row r="20">
      <c r="A20" s="8"/>
    </row>
    <row r="21">
      <c r="A21" s="6" t="s">
        <v>22</v>
      </c>
    </row>
    <row r="22">
      <c r="A22" s="8"/>
    </row>
    <row r="23">
      <c r="A23" s="13" t="s">
        <v>25</v>
      </c>
    </row>
    <row r="24">
      <c r="A24" s="14"/>
    </row>
    <row r="25">
      <c r="A25" s="13" t="s">
        <v>28</v>
      </c>
    </row>
    <row r="26">
      <c r="A26" s="14"/>
    </row>
    <row r="27">
      <c r="A27" s="13" t="s">
        <v>30</v>
      </c>
    </row>
    <row r="28">
      <c r="A28" s="14"/>
    </row>
    <row r="29">
      <c r="A29" s="13" t="s">
        <v>32</v>
      </c>
    </row>
    <row r="30">
      <c r="A30" s="14"/>
    </row>
    <row r="31">
      <c r="A31" s="13" t="s">
        <v>33</v>
      </c>
    </row>
    <row r="32">
      <c r="A32" s="14"/>
    </row>
    <row r="33">
      <c r="A33" s="13" t="s">
        <v>34</v>
      </c>
    </row>
    <row r="34">
      <c r="A34" s="14"/>
    </row>
    <row r="35">
      <c r="A35" s="13" t="s">
        <v>37</v>
      </c>
    </row>
    <row r="36">
      <c r="A36" s="14"/>
    </row>
    <row r="37">
      <c r="A37" s="13" t="s">
        <v>42</v>
      </c>
    </row>
    <row r="38">
      <c r="A38" s="14"/>
    </row>
    <row r="39">
      <c r="A39" s="13" t="s">
        <v>44</v>
      </c>
    </row>
    <row r="40">
      <c r="A40" s="14"/>
    </row>
    <row r="41">
      <c r="A41" s="13" t="s">
        <v>47</v>
      </c>
    </row>
    <row r="42">
      <c r="A42" s="14"/>
    </row>
    <row r="43">
      <c r="A43" s="13" t="s">
        <v>51</v>
      </c>
    </row>
    <row r="44">
      <c r="A44" s="14"/>
    </row>
    <row r="45">
      <c r="A45" s="13" t="s">
        <v>54</v>
      </c>
    </row>
    <row r="46">
      <c r="A46" s="14"/>
    </row>
    <row r="47">
      <c r="A47" s="13" t="s">
        <v>56</v>
      </c>
    </row>
    <row r="48">
      <c r="A48" s="14"/>
    </row>
    <row r="49">
      <c r="A49" s="13" t="s">
        <v>62</v>
      </c>
    </row>
    <row r="50">
      <c r="A50" s="14"/>
    </row>
    <row r="51">
      <c r="A51" s="13" t="s">
        <v>76</v>
      </c>
    </row>
    <row r="52">
      <c r="A52" s="14"/>
    </row>
    <row r="53">
      <c r="A53" s="13" t="s">
        <v>81</v>
      </c>
    </row>
    <row r="54">
      <c r="A54" s="14"/>
    </row>
    <row r="55">
      <c r="A55" s="13" t="s">
        <v>86</v>
      </c>
    </row>
    <row r="56">
      <c r="A56" s="14"/>
    </row>
    <row r="57">
      <c r="A57" s="13" t="s">
        <v>88</v>
      </c>
    </row>
    <row r="58">
      <c r="A58" s="14"/>
    </row>
    <row r="59">
      <c r="A59" s="32"/>
    </row>
    <row r="60">
      <c r="A60" s="32"/>
    </row>
    <row r="61">
      <c r="A61" s="32"/>
    </row>
    <row r="62">
      <c r="A62" s="32"/>
    </row>
    <row r="63">
      <c r="A63" s="32"/>
    </row>
    <row r="64">
      <c r="A64" s="32"/>
    </row>
    <row r="65">
      <c r="A65" s="32"/>
    </row>
    <row r="66">
      <c r="A66" s="32"/>
    </row>
    <row r="67">
      <c r="A67" s="32"/>
    </row>
    <row r="68">
      <c r="A68" s="32"/>
    </row>
    <row r="69">
      <c r="A69" s="32"/>
    </row>
    <row r="70">
      <c r="A70" s="32"/>
    </row>
    <row r="71">
      <c r="A71" s="32"/>
    </row>
    <row r="72">
      <c r="A72" s="32"/>
    </row>
    <row r="73">
      <c r="A73" s="32"/>
    </row>
    <row r="74">
      <c r="A74" s="32"/>
    </row>
    <row r="75">
      <c r="A75" s="32"/>
    </row>
    <row r="76">
      <c r="A76" s="32"/>
    </row>
    <row r="77">
      <c r="A77" s="32"/>
    </row>
    <row r="78">
      <c r="A78" s="32"/>
    </row>
    <row r="79">
      <c r="A79" s="32"/>
    </row>
    <row r="80">
      <c r="A80" s="32"/>
    </row>
    <row r="81">
      <c r="A81" s="32"/>
    </row>
    <row r="82">
      <c r="A82" s="32"/>
    </row>
    <row r="83">
      <c r="A83" s="32"/>
    </row>
    <row r="84">
      <c r="A84" s="32"/>
    </row>
    <row r="85">
      <c r="A85" s="32"/>
    </row>
    <row r="86">
      <c r="A86" s="32"/>
    </row>
    <row r="87">
      <c r="A87" s="32"/>
    </row>
    <row r="88">
      <c r="A88" s="32"/>
    </row>
    <row r="89">
      <c r="A89" s="32"/>
    </row>
    <row r="90">
      <c r="A90" s="32"/>
    </row>
    <row r="91">
      <c r="A91" s="32"/>
    </row>
    <row r="92">
      <c r="A92" s="32"/>
    </row>
    <row r="93">
      <c r="A93" s="32"/>
    </row>
    <row r="94">
      <c r="A94" s="32"/>
    </row>
    <row r="95">
      <c r="A95" s="32"/>
    </row>
    <row r="96">
      <c r="A96" s="32"/>
    </row>
    <row r="97">
      <c r="A97" s="32"/>
    </row>
    <row r="98">
      <c r="A98" s="32"/>
    </row>
    <row r="99">
      <c r="A99" s="32"/>
    </row>
    <row r="100">
      <c r="A100" s="32"/>
    </row>
    <row r="101">
      <c r="A101" s="32"/>
    </row>
    <row r="102">
      <c r="A102" s="32"/>
    </row>
    <row r="103">
      <c r="A103" s="32"/>
    </row>
    <row r="104">
      <c r="A104" s="32"/>
    </row>
    <row r="105">
      <c r="A105" s="32"/>
    </row>
    <row r="106">
      <c r="A106" s="32"/>
    </row>
    <row r="107">
      <c r="A107" s="32"/>
    </row>
    <row r="108">
      <c r="A108" s="32"/>
    </row>
    <row r="109">
      <c r="A109" s="32"/>
    </row>
    <row r="110">
      <c r="A110" s="32"/>
    </row>
    <row r="111">
      <c r="A111" s="32"/>
    </row>
    <row r="112">
      <c r="A112" s="32"/>
    </row>
    <row r="113">
      <c r="A113" s="32"/>
    </row>
    <row r="114">
      <c r="A114" s="32"/>
    </row>
    <row r="115">
      <c r="A115" s="32"/>
    </row>
    <row r="116">
      <c r="A116" s="32"/>
    </row>
    <row r="117">
      <c r="A117" s="32"/>
    </row>
    <row r="118">
      <c r="A118" s="32"/>
    </row>
    <row r="119">
      <c r="A119" s="32"/>
    </row>
    <row r="120">
      <c r="A120" s="32"/>
    </row>
    <row r="121">
      <c r="A121" s="32"/>
    </row>
    <row r="122">
      <c r="A122" s="32"/>
    </row>
    <row r="123">
      <c r="A123" s="32"/>
    </row>
    <row r="124">
      <c r="A124" s="32"/>
    </row>
    <row r="125">
      <c r="A125" s="32"/>
    </row>
    <row r="126">
      <c r="A126" s="32"/>
    </row>
    <row r="127">
      <c r="A127" s="32"/>
    </row>
    <row r="128">
      <c r="A128" s="32"/>
    </row>
    <row r="129">
      <c r="A129" s="32"/>
    </row>
    <row r="130">
      <c r="A130" s="32"/>
    </row>
    <row r="131">
      <c r="A131" s="32"/>
    </row>
    <row r="132">
      <c r="A132" s="32"/>
    </row>
    <row r="133">
      <c r="A133" s="32"/>
    </row>
    <row r="134">
      <c r="A134" s="32"/>
    </row>
    <row r="135">
      <c r="A135" s="32"/>
    </row>
    <row r="136">
      <c r="A136" s="32"/>
    </row>
    <row r="137">
      <c r="A137" s="32"/>
    </row>
    <row r="138">
      <c r="A138" s="32"/>
    </row>
    <row r="139">
      <c r="A139" s="32"/>
    </row>
    <row r="140">
      <c r="A140" s="32"/>
    </row>
    <row r="141">
      <c r="A141" s="32"/>
    </row>
    <row r="142">
      <c r="A142" s="32"/>
    </row>
    <row r="143">
      <c r="A143" s="32"/>
    </row>
    <row r="144">
      <c r="A144" s="32"/>
    </row>
    <row r="145">
      <c r="A145" s="32"/>
    </row>
    <row r="146">
      <c r="A146" s="32"/>
    </row>
    <row r="147">
      <c r="A147" s="32"/>
    </row>
    <row r="148">
      <c r="A148" s="32"/>
    </row>
    <row r="149">
      <c r="A149" s="32"/>
    </row>
    <row r="150">
      <c r="A150" s="32"/>
    </row>
    <row r="151">
      <c r="A151" s="32"/>
    </row>
    <row r="152">
      <c r="A152" s="32"/>
    </row>
    <row r="153">
      <c r="A153" s="32"/>
    </row>
    <row r="154">
      <c r="A154" s="32"/>
    </row>
    <row r="155">
      <c r="A155" s="32"/>
    </row>
    <row r="156">
      <c r="A156" s="32"/>
    </row>
    <row r="157">
      <c r="A157" s="32"/>
    </row>
    <row r="158">
      <c r="A158" s="32"/>
    </row>
    <row r="159">
      <c r="A159" s="32"/>
    </row>
    <row r="160">
      <c r="A160" s="32"/>
    </row>
    <row r="161">
      <c r="A161" s="32"/>
    </row>
    <row r="162">
      <c r="A162" s="32"/>
    </row>
    <row r="163">
      <c r="A163" s="32"/>
    </row>
    <row r="164">
      <c r="A164" s="32"/>
    </row>
    <row r="165">
      <c r="A165" s="32"/>
    </row>
    <row r="166">
      <c r="A166" s="32"/>
    </row>
    <row r="167">
      <c r="A167" s="32"/>
    </row>
    <row r="168">
      <c r="A168" s="32"/>
    </row>
    <row r="169">
      <c r="A169" s="32"/>
    </row>
    <row r="170">
      <c r="A170" s="32"/>
    </row>
    <row r="171">
      <c r="A171" s="32"/>
    </row>
    <row r="172">
      <c r="A172" s="32"/>
    </row>
    <row r="173">
      <c r="A173" s="32"/>
    </row>
    <row r="174">
      <c r="A174" s="32"/>
    </row>
    <row r="175">
      <c r="A175" s="32"/>
    </row>
    <row r="176">
      <c r="A176" s="32"/>
    </row>
    <row r="177">
      <c r="A177" s="32"/>
    </row>
    <row r="178">
      <c r="A178" s="32"/>
    </row>
    <row r="179">
      <c r="A179" s="32"/>
    </row>
    <row r="180">
      <c r="A180" s="32"/>
    </row>
    <row r="181">
      <c r="A181" s="32"/>
    </row>
    <row r="182">
      <c r="A182" s="32"/>
    </row>
    <row r="183">
      <c r="A183" s="32"/>
    </row>
    <row r="184">
      <c r="A184" s="32"/>
    </row>
    <row r="185">
      <c r="A185" s="32"/>
    </row>
    <row r="186">
      <c r="A186" s="32"/>
    </row>
    <row r="187">
      <c r="A187" s="32"/>
    </row>
    <row r="188">
      <c r="A188" s="32"/>
    </row>
    <row r="189">
      <c r="A189" s="32"/>
    </row>
    <row r="190">
      <c r="A190" s="32"/>
    </row>
    <row r="191">
      <c r="A191" s="32"/>
    </row>
    <row r="192">
      <c r="A192" s="32"/>
    </row>
    <row r="193">
      <c r="A193" s="32"/>
    </row>
    <row r="194">
      <c r="A194" s="32"/>
    </row>
    <row r="195">
      <c r="A195" s="32"/>
    </row>
    <row r="196">
      <c r="A196" s="32"/>
    </row>
    <row r="197">
      <c r="A197" s="32"/>
    </row>
    <row r="198">
      <c r="A198" s="32"/>
    </row>
    <row r="199">
      <c r="A199" s="32"/>
    </row>
    <row r="200">
      <c r="A200" s="32"/>
    </row>
    <row r="201">
      <c r="A201" s="32"/>
    </row>
    <row r="202">
      <c r="A202" s="32"/>
    </row>
    <row r="203">
      <c r="A203" s="32"/>
    </row>
    <row r="204">
      <c r="A204" s="32"/>
    </row>
    <row r="205">
      <c r="A205" s="32"/>
    </row>
    <row r="206">
      <c r="A206" s="32"/>
    </row>
    <row r="207">
      <c r="A207" s="32"/>
    </row>
    <row r="208">
      <c r="A208" s="32"/>
    </row>
    <row r="209">
      <c r="A209" s="32"/>
    </row>
    <row r="210">
      <c r="A210" s="32"/>
    </row>
    <row r="211">
      <c r="A211" s="32"/>
    </row>
    <row r="212">
      <c r="A212" s="32"/>
    </row>
    <row r="213">
      <c r="A213" s="32"/>
    </row>
    <row r="214">
      <c r="A214" s="32"/>
    </row>
    <row r="215">
      <c r="A215" s="32"/>
    </row>
    <row r="216">
      <c r="A216" s="32"/>
    </row>
    <row r="217">
      <c r="A217" s="32"/>
    </row>
    <row r="218">
      <c r="A218" s="32"/>
    </row>
    <row r="219">
      <c r="A219" s="32"/>
    </row>
    <row r="220">
      <c r="A220" s="32"/>
    </row>
    <row r="221">
      <c r="A221" s="32"/>
    </row>
    <row r="222">
      <c r="A222" s="32"/>
    </row>
    <row r="223">
      <c r="A223" s="32"/>
    </row>
    <row r="224">
      <c r="A224" s="32"/>
    </row>
    <row r="225">
      <c r="A225" s="32"/>
    </row>
    <row r="226">
      <c r="A226" s="32"/>
    </row>
    <row r="227">
      <c r="A227" s="32"/>
    </row>
    <row r="228">
      <c r="A228" s="32"/>
    </row>
    <row r="229">
      <c r="A229" s="32"/>
    </row>
    <row r="230">
      <c r="A230" s="32"/>
    </row>
    <row r="231">
      <c r="A231" s="32"/>
    </row>
    <row r="232">
      <c r="A232" s="32"/>
    </row>
    <row r="233">
      <c r="A233" s="32"/>
    </row>
    <row r="234">
      <c r="A234" s="32"/>
    </row>
    <row r="235">
      <c r="A235" s="32"/>
    </row>
    <row r="236">
      <c r="A236" s="32"/>
    </row>
    <row r="237">
      <c r="A237" s="32"/>
    </row>
    <row r="238">
      <c r="A238" s="32"/>
    </row>
    <row r="239">
      <c r="A239" s="32"/>
    </row>
    <row r="240">
      <c r="A240" s="32"/>
    </row>
    <row r="241">
      <c r="A241" s="32"/>
    </row>
    <row r="242">
      <c r="A242" s="32"/>
    </row>
    <row r="243">
      <c r="A243" s="32"/>
    </row>
    <row r="244">
      <c r="A244" s="32"/>
    </row>
    <row r="245">
      <c r="A245" s="32"/>
    </row>
    <row r="246">
      <c r="A246" s="32"/>
    </row>
    <row r="247">
      <c r="A247" s="32"/>
    </row>
    <row r="248">
      <c r="A248" s="32"/>
    </row>
    <row r="249">
      <c r="A249" s="32"/>
    </row>
    <row r="250">
      <c r="A250" s="32"/>
    </row>
    <row r="251">
      <c r="A251" s="32"/>
    </row>
    <row r="252">
      <c r="A252" s="32"/>
    </row>
    <row r="253">
      <c r="A253" s="32"/>
    </row>
    <row r="254">
      <c r="A254" s="32"/>
    </row>
    <row r="255">
      <c r="A255" s="32"/>
    </row>
    <row r="256">
      <c r="A256" s="32"/>
    </row>
    <row r="257">
      <c r="A257" s="32"/>
    </row>
    <row r="258">
      <c r="A258" s="32"/>
    </row>
    <row r="259">
      <c r="A259" s="32"/>
    </row>
    <row r="260">
      <c r="A260" s="32"/>
    </row>
    <row r="261">
      <c r="A261" s="32"/>
    </row>
    <row r="262">
      <c r="A262" s="32"/>
    </row>
    <row r="263">
      <c r="A263" s="32"/>
    </row>
    <row r="264">
      <c r="A264" s="32"/>
    </row>
    <row r="265">
      <c r="A265" s="32"/>
    </row>
    <row r="266">
      <c r="A266" s="32"/>
    </row>
    <row r="267">
      <c r="A267" s="32"/>
    </row>
    <row r="268">
      <c r="A268" s="32"/>
    </row>
    <row r="269">
      <c r="A269" s="32"/>
    </row>
    <row r="270">
      <c r="A270" s="32"/>
    </row>
    <row r="271">
      <c r="A271" s="32"/>
    </row>
    <row r="272">
      <c r="A272" s="32"/>
    </row>
    <row r="273">
      <c r="A273" s="32"/>
    </row>
    <row r="274">
      <c r="A274" s="32"/>
    </row>
    <row r="275">
      <c r="A275" s="32"/>
    </row>
    <row r="276">
      <c r="A276" s="32"/>
    </row>
    <row r="277">
      <c r="A277" s="32"/>
    </row>
    <row r="278">
      <c r="A278" s="32"/>
    </row>
    <row r="279">
      <c r="A279" s="32"/>
    </row>
    <row r="280">
      <c r="A280" s="32"/>
    </row>
    <row r="281">
      <c r="A281" s="32"/>
    </row>
    <row r="282">
      <c r="A282" s="32"/>
    </row>
    <row r="283">
      <c r="A283" s="32"/>
    </row>
    <row r="284">
      <c r="A284" s="32"/>
    </row>
    <row r="285">
      <c r="A285" s="32"/>
    </row>
    <row r="286">
      <c r="A286" s="32"/>
    </row>
    <row r="287">
      <c r="A287" s="32"/>
    </row>
    <row r="288">
      <c r="A288" s="32"/>
    </row>
    <row r="289">
      <c r="A289" s="32"/>
    </row>
    <row r="290">
      <c r="A290" s="32"/>
    </row>
    <row r="291">
      <c r="A291" s="32"/>
    </row>
    <row r="292">
      <c r="A292" s="32"/>
    </row>
    <row r="293">
      <c r="A293" s="32"/>
    </row>
    <row r="294">
      <c r="A294" s="32"/>
    </row>
    <row r="295">
      <c r="A295" s="32"/>
    </row>
    <row r="296">
      <c r="A296" s="32"/>
    </row>
    <row r="297">
      <c r="A297" s="32"/>
    </row>
    <row r="298">
      <c r="A298" s="32"/>
    </row>
    <row r="299">
      <c r="A299" s="32"/>
    </row>
    <row r="300">
      <c r="A300" s="32"/>
    </row>
    <row r="301">
      <c r="A301" s="32"/>
    </row>
    <row r="302">
      <c r="A302" s="32"/>
    </row>
    <row r="303">
      <c r="A303" s="32"/>
    </row>
    <row r="304">
      <c r="A304" s="32"/>
    </row>
    <row r="305">
      <c r="A305" s="32"/>
    </row>
    <row r="306">
      <c r="A306" s="32"/>
    </row>
    <row r="307">
      <c r="A307" s="32"/>
    </row>
    <row r="308">
      <c r="A308" s="32"/>
    </row>
    <row r="309">
      <c r="A309" s="32"/>
    </row>
    <row r="310">
      <c r="A310" s="32"/>
    </row>
    <row r="311">
      <c r="A311" s="32"/>
    </row>
    <row r="312">
      <c r="A312" s="32"/>
    </row>
    <row r="313">
      <c r="A313" s="32"/>
    </row>
    <row r="314">
      <c r="A314" s="32"/>
    </row>
    <row r="315">
      <c r="A315" s="32"/>
    </row>
    <row r="316">
      <c r="A316" s="32"/>
    </row>
    <row r="317">
      <c r="A317" s="32"/>
    </row>
    <row r="318">
      <c r="A318" s="32"/>
    </row>
    <row r="319">
      <c r="A319" s="32"/>
    </row>
    <row r="320">
      <c r="A320" s="32"/>
    </row>
    <row r="321">
      <c r="A321" s="32"/>
    </row>
    <row r="322">
      <c r="A322" s="32"/>
    </row>
    <row r="323">
      <c r="A323" s="32"/>
    </row>
    <row r="324">
      <c r="A324" s="32"/>
    </row>
    <row r="325">
      <c r="A325" s="32"/>
    </row>
    <row r="326">
      <c r="A326" s="32"/>
    </row>
    <row r="327">
      <c r="A327" s="32"/>
    </row>
    <row r="328">
      <c r="A328" s="32"/>
    </row>
    <row r="329">
      <c r="A329" s="32"/>
    </row>
    <row r="330">
      <c r="A330" s="32"/>
    </row>
    <row r="331">
      <c r="A331" s="32"/>
    </row>
    <row r="332">
      <c r="A332" s="32"/>
    </row>
    <row r="333">
      <c r="A333" s="32"/>
    </row>
    <row r="334">
      <c r="A334" s="32"/>
    </row>
    <row r="335">
      <c r="A335" s="32"/>
    </row>
    <row r="336">
      <c r="A336" s="32"/>
    </row>
    <row r="337">
      <c r="A337" s="32"/>
    </row>
    <row r="338">
      <c r="A338" s="32"/>
    </row>
    <row r="339">
      <c r="A339" s="32"/>
    </row>
    <row r="340">
      <c r="A340" s="32"/>
    </row>
    <row r="341">
      <c r="A341" s="32"/>
    </row>
    <row r="342">
      <c r="A342" s="32"/>
    </row>
    <row r="343">
      <c r="A343" s="32"/>
    </row>
    <row r="344">
      <c r="A344" s="32"/>
    </row>
    <row r="345">
      <c r="A345" s="32"/>
    </row>
    <row r="346">
      <c r="A346" s="32"/>
    </row>
    <row r="347">
      <c r="A347" s="32"/>
    </row>
    <row r="348">
      <c r="A348" s="32"/>
    </row>
    <row r="349">
      <c r="A349" s="32"/>
    </row>
    <row r="350">
      <c r="A350" s="32"/>
    </row>
    <row r="351">
      <c r="A351" s="32"/>
    </row>
    <row r="352">
      <c r="A352" s="32"/>
    </row>
    <row r="353">
      <c r="A353" s="32"/>
    </row>
    <row r="354">
      <c r="A354" s="32"/>
    </row>
    <row r="355">
      <c r="A355" s="32"/>
    </row>
    <row r="356">
      <c r="A356" s="32"/>
    </row>
    <row r="357">
      <c r="A357" s="32"/>
    </row>
    <row r="358">
      <c r="A358" s="32"/>
    </row>
    <row r="359">
      <c r="A359" s="32"/>
    </row>
    <row r="360">
      <c r="A360" s="32"/>
    </row>
    <row r="361">
      <c r="A361" s="32"/>
    </row>
    <row r="362">
      <c r="A362" s="32"/>
    </row>
    <row r="363">
      <c r="A363" s="32"/>
    </row>
    <row r="364">
      <c r="A364" s="32"/>
    </row>
    <row r="365">
      <c r="A365" s="32"/>
    </row>
    <row r="366">
      <c r="A366" s="32"/>
    </row>
    <row r="367">
      <c r="A367" s="32"/>
    </row>
    <row r="368">
      <c r="A368" s="32"/>
    </row>
    <row r="369">
      <c r="A369" s="32"/>
    </row>
    <row r="370">
      <c r="A370" s="32"/>
    </row>
    <row r="371">
      <c r="A371" s="32"/>
    </row>
    <row r="372">
      <c r="A372" s="32"/>
    </row>
    <row r="373">
      <c r="A373" s="32"/>
    </row>
    <row r="374">
      <c r="A374" s="32"/>
    </row>
    <row r="375">
      <c r="A375" s="32"/>
    </row>
    <row r="376">
      <c r="A376" s="32"/>
    </row>
    <row r="377">
      <c r="A377" s="32"/>
    </row>
    <row r="378">
      <c r="A378" s="32"/>
    </row>
    <row r="379">
      <c r="A379" s="32"/>
    </row>
    <row r="380">
      <c r="A380" s="32"/>
    </row>
    <row r="381">
      <c r="A381" s="32"/>
    </row>
    <row r="382">
      <c r="A382" s="32"/>
    </row>
    <row r="383">
      <c r="A383" s="32"/>
    </row>
    <row r="384">
      <c r="A384" s="32"/>
    </row>
    <row r="385">
      <c r="A385" s="32"/>
    </row>
    <row r="386">
      <c r="A386" s="32"/>
    </row>
    <row r="387">
      <c r="A387" s="32"/>
    </row>
    <row r="388">
      <c r="A388" s="32"/>
    </row>
    <row r="389">
      <c r="A389" s="32"/>
    </row>
    <row r="390">
      <c r="A390" s="32"/>
    </row>
    <row r="391">
      <c r="A391" s="32"/>
    </row>
    <row r="392">
      <c r="A392" s="32"/>
    </row>
    <row r="393">
      <c r="A393" s="32"/>
    </row>
    <row r="394">
      <c r="A394" s="32"/>
    </row>
    <row r="395">
      <c r="A395" s="32"/>
    </row>
    <row r="396">
      <c r="A396" s="32"/>
    </row>
    <row r="397">
      <c r="A397" s="32"/>
    </row>
    <row r="398">
      <c r="A398" s="32"/>
    </row>
    <row r="399">
      <c r="A399" s="32"/>
    </row>
    <row r="400">
      <c r="A400" s="32"/>
    </row>
    <row r="401">
      <c r="A401" s="32"/>
    </row>
    <row r="402">
      <c r="A402" s="32"/>
    </row>
    <row r="403">
      <c r="A403" s="32"/>
    </row>
    <row r="404">
      <c r="A404" s="32"/>
    </row>
    <row r="405">
      <c r="A405" s="32"/>
    </row>
    <row r="406">
      <c r="A406" s="32"/>
    </row>
    <row r="407">
      <c r="A407" s="32"/>
    </row>
    <row r="408">
      <c r="A408" s="32"/>
    </row>
    <row r="409">
      <c r="A409" s="32"/>
    </row>
    <row r="410">
      <c r="A410" s="32"/>
    </row>
    <row r="411">
      <c r="A411" s="32"/>
    </row>
    <row r="412">
      <c r="A412" s="32"/>
    </row>
    <row r="413">
      <c r="A413" s="32"/>
    </row>
    <row r="414">
      <c r="A414" s="32"/>
    </row>
    <row r="415">
      <c r="A415" s="32"/>
    </row>
    <row r="416">
      <c r="A416" s="32"/>
    </row>
    <row r="417">
      <c r="A417" s="32"/>
    </row>
    <row r="418">
      <c r="A418" s="32"/>
    </row>
    <row r="419">
      <c r="A419" s="32"/>
    </row>
    <row r="420">
      <c r="A420" s="32"/>
    </row>
    <row r="421">
      <c r="A421" s="32"/>
    </row>
    <row r="422">
      <c r="A422" s="32"/>
    </row>
    <row r="423">
      <c r="A423" s="32"/>
    </row>
    <row r="424">
      <c r="A424" s="32"/>
    </row>
    <row r="425">
      <c r="A425" s="32"/>
    </row>
    <row r="426">
      <c r="A426" s="32"/>
    </row>
    <row r="427">
      <c r="A427" s="32"/>
    </row>
    <row r="428">
      <c r="A428" s="32"/>
    </row>
    <row r="429">
      <c r="A429" s="32"/>
    </row>
    <row r="430">
      <c r="A430" s="32"/>
    </row>
    <row r="431">
      <c r="A431" s="32"/>
    </row>
    <row r="432">
      <c r="A432" s="32"/>
    </row>
    <row r="433">
      <c r="A433" s="32"/>
    </row>
    <row r="434">
      <c r="A434" s="32"/>
    </row>
    <row r="435">
      <c r="A435" s="32"/>
    </row>
    <row r="436">
      <c r="A436" s="32"/>
    </row>
    <row r="437">
      <c r="A437" s="32"/>
    </row>
    <row r="438">
      <c r="A438" s="32"/>
    </row>
    <row r="439">
      <c r="A439" s="32"/>
    </row>
    <row r="440">
      <c r="A440" s="32"/>
    </row>
    <row r="441">
      <c r="A441" s="32"/>
    </row>
    <row r="442">
      <c r="A442" s="32"/>
    </row>
    <row r="443">
      <c r="A443" s="32"/>
    </row>
    <row r="444">
      <c r="A444" s="32"/>
    </row>
    <row r="445">
      <c r="A445" s="32"/>
    </row>
    <row r="446">
      <c r="A446" s="32"/>
    </row>
    <row r="447">
      <c r="A447" s="32"/>
    </row>
    <row r="448">
      <c r="A448" s="32"/>
    </row>
    <row r="449">
      <c r="A449" s="32"/>
    </row>
    <row r="450">
      <c r="A450" s="32"/>
    </row>
    <row r="451">
      <c r="A451" s="32"/>
    </row>
    <row r="452">
      <c r="A452" s="32"/>
    </row>
    <row r="453">
      <c r="A453" s="32"/>
    </row>
    <row r="454">
      <c r="A454" s="32"/>
    </row>
    <row r="455">
      <c r="A455" s="32"/>
    </row>
    <row r="456">
      <c r="A456" s="32"/>
    </row>
    <row r="457">
      <c r="A457" s="32"/>
    </row>
    <row r="458">
      <c r="A458" s="32"/>
    </row>
    <row r="459">
      <c r="A459" s="32"/>
    </row>
    <row r="460">
      <c r="A460" s="32"/>
    </row>
    <row r="461">
      <c r="A461" s="32"/>
    </row>
    <row r="462">
      <c r="A462" s="32"/>
    </row>
    <row r="463">
      <c r="A463" s="32"/>
    </row>
    <row r="464">
      <c r="A464" s="32"/>
    </row>
    <row r="465">
      <c r="A465" s="32"/>
    </row>
    <row r="466">
      <c r="A466" s="32"/>
    </row>
    <row r="467">
      <c r="A467" s="32"/>
    </row>
    <row r="468">
      <c r="A468" s="32"/>
    </row>
    <row r="469">
      <c r="A469" s="32"/>
    </row>
    <row r="470">
      <c r="A470" s="32"/>
    </row>
    <row r="471">
      <c r="A471" s="32"/>
    </row>
    <row r="472">
      <c r="A472" s="32"/>
    </row>
    <row r="473">
      <c r="A473" s="32"/>
    </row>
    <row r="474">
      <c r="A474" s="32"/>
    </row>
    <row r="475">
      <c r="A475" s="32"/>
    </row>
    <row r="476">
      <c r="A476" s="32"/>
    </row>
    <row r="477">
      <c r="A477" s="32"/>
    </row>
    <row r="478">
      <c r="A478" s="32"/>
    </row>
    <row r="479">
      <c r="A479" s="32"/>
    </row>
    <row r="480">
      <c r="A480" s="32"/>
    </row>
    <row r="481">
      <c r="A481" s="32"/>
    </row>
    <row r="482">
      <c r="A482" s="32"/>
    </row>
    <row r="483">
      <c r="A483" s="32"/>
    </row>
    <row r="484">
      <c r="A484" s="32"/>
    </row>
    <row r="485">
      <c r="A485" s="32"/>
    </row>
    <row r="486">
      <c r="A486" s="32"/>
    </row>
    <row r="487">
      <c r="A487" s="32"/>
    </row>
    <row r="488">
      <c r="A488" s="32"/>
    </row>
    <row r="489">
      <c r="A489" s="32"/>
    </row>
    <row r="490">
      <c r="A490" s="32"/>
    </row>
    <row r="491">
      <c r="A491" s="32"/>
    </row>
    <row r="492">
      <c r="A492" s="32"/>
    </row>
    <row r="493">
      <c r="A493" s="32"/>
    </row>
    <row r="494">
      <c r="A494" s="32"/>
    </row>
    <row r="495">
      <c r="A495" s="32"/>
    </row>
    <row r="496">
      <c r="A496" s="32"/>
    </row>
    <row r="497">
      <c r="A497" s="32"/>
    </row>
    <row r="498">
      <c r="A498" s="32"/>
    </row>
    <row r="499">
      <c r="A499" s="32"/>
    </row>
    <row r="500">
      <c r="A500" s="32"/>
    </row>
    <row r="501">
      <c r="A501" s="32"/>
    </row>
    <row r="502">
      <c r="A502" s="32"/>
    </row>
    <row r="503">
      <c r="A503" s="32"/>
    </row>
    <row r="504">
      <c r="A504" s="32"/>
    </row>
    <row r="505">
      <c r="A505" s="32"/>
    </row>
    <row r="506">
      <c r="A506" s="32"/>
    </row>
    <row r="507">
      <c r="A507" s="32"/>
    </row>
    <row r="508">
      <c r="A508" s="32"/>
    </row>
    <row r="509">
      <c r="A509" s="32"/>
    </row>
    <row r="510">
      <c r="A510" s="32"/>
    </row>
    <row r="511">
      <c r="A511" s="32"/>
    </row>
    <row r="512">
      <c r="A512" s="32"/>
    </row>
    <row r="513">
      <c r="A513" s="32"/>
    </row>
    <row r="514">
      <c r="A514" s="32"/>
    </row>
    <row r="515">
      <c r="A515" s="32"/>
    </row>
    <row r="516">
      <c r="A516" s="32"/>
    </row>
    <row r="517">
      <c r="A517" s="32"/>
    </row>
    <row r="518">
      <c r="A518" s="32"/>
    </row>
    <row r="519">
      <c r="A519" s="32"/>
    </row>
    <row r="520">
      <c r="A520" s="32"/>
    </row>
    <row r="521">
      <c r="A521" s="32"/>
    </row>
    <row r="522">
      <c r="A522" s="32"/>
    </row>
    <row r="523">
      <c r="A523" s="32"/>
    </row>
    <row r="524">
      <c r="A524" s="32"/>
    </row>
    <row r="525">
      <c r="A525" s="32"/>
    </row>
    <row r="526">
      <c r="A526" s="32"/>
    </row>
    <row r="527">
      <c r="A527" s="32"/>
    </row>
    <row r="528">
      <c r="A528" s="32"/>
    </row>
    <row r="529">
      <c r="A529" s="32"/>
    </row>
    <row r="530">
      <c r="A530" s="32"/>
    </row>
    <row r="531">
      <c r="A531" s="32"/>
    </row>
    <row r="532">
      <c r="A532" s="32"/>
    </row>
    <row r="533">
      <c r="A533" s="32"/>
    </row>
    <row r="534">
      <c r="A534" s="32"/>
    </row>
    <row r="535">
      <c r="A535" s="32"/>
    </row>
    <row r="536">
      <c r="A536" s="32"/>
    </row>
    <row r="537">
      <c r="A537" s="32"/>
    </row>
    <row r="538">
      <c r="A538" s="32"/>
    </row>
    <row r="539">
      <c r="A539" s="32"/>
    </row>
    <row r="540">
      <c r="A540" s="32"/>
    </row>
    <row r="541">
      <c r="A541" s="32"/>
    </row>
    <row r="542">
      <c r="A542" s="32"/>
    </row>
    <row r="543">
      <c r="A543" s="32"/>
    </row>
    <row r="544">
      <c r="A544" s="32"/>
    </row>
    <row r="545">
      <c r="A545" s="32"/>
    </row>
    <row r="546">
      <c r="A546" s="32"/>
    </row>
    <row r="547">
      <c r="A547" s="32"/>
    </row>
    <row r="548">
      <c r="A548" s="32"/>
    </row>
    <row r="549">
      <c r="A549" s="32"/>
    </row>
    <row r="550">
      <c r="A550" s="32"/>
    </row>
    <row r="551">
      <c r="A551" s="32"/>
    </row>
    <row r="552">
      <c r="A552" s="32"/>
    </row>
    <row r="553">
      <c r="A553" s="32"/>
    </row>
    <row r="554">
      <c r="A554" s="32"/>
    </row>
    <row r="555">
      <c r="A555" s="32"/>
    </row>
    <row r="556">
      <c r="A556" s="32"/>
    </row>
    <row r="557">
      <c r="A557" s="32"/>
    </row>
    <row r="558">
      <c r="A558" s="32"/>
    </row>
    <row r="559">
      <c r="A559" s="32"/>
    </row>
    <row r="560">
      <c r="A560" s="32"/>
    </row>
    <row r="561">
      <c r="A561" s="32"/>
    </row>
    <row r="562">
      <c r="A562" s="32"/>
    </row>
    <row r="563">
      <c r="A563" s="32"/>
    </row>
    <row r="564">
      <c r="A564" s="32"/>
    </row>
    <row r="565">
      <c r="A565" s="32"/>
    </row>
    <row r="566">
      <c r="A566" s="32"/>
    </row>
    <row r="567">
      <c r="A567" s="32"/>
    </row>
    <row r="568">
      <c r="A568" s="32"/>
    </row>
    <row r="569">
      <c r="A569" s="32"/>
    </row>
    <row r="570">
      <c r="A570" s="32"/>
    </row>
    <row r="571">
      <c r="A571" s="32"/>
    </row>
    <row r="572">
      <c r="A572" s="32"/>
    </row>
    <row r="573">
      <c r="A573" s="32"/>
    </row>
    <row r="574">
      <c r="A574" s="32"/>
    </row>
    <row r="575">
      <c r="A575" s="32"/>
    </row>
    <row r="576">
      <c r="A576" s="32"/>
    </row>
    <row r="577">
      <c r="A577" s="32"/>
    </row>
    <row r="578">
      <c r="A578" s="32"/>
    </row>
    <row r="579">
      <c r="A579" s="32"/>
    </row>
    <row r="580">
      <c r="A580" s="32"/>
    </row>
    <row r="581">
      <c r="A581" s="32"/>
    </row>
    <row r="582">
      <c r="A582" s="32"/>
    </row>
    <row r="583">
      <c r="A583" s="32"/>
    </row>
    <row r="584">
      <c r="A584" s="32"/>
    </row>
    <row r="585">
      <c r="A585" s="32"/>
    </row>
    <row r="586">
      <c r="A586" s="32"/>
    </row>
    <row r="587">
      <c r="A587" s="32"/>
    </row>
    <row r="588">
      <c r="A588" s="32"/>
    </row>
    <row r="589">
      <c r="A589" s="32"/>
    </row>
    <row r="590">
      <c r="A590" s="32"/>
    </row>
    <row r="591">
      <c r="A591" s="32"/>
    </row>
    <row r="592">
      <c r="A592" s="32"/>
    </row>
    <row r="593">
      <c r="A593" s="32"/>
    </row>
    <row r="594">
      <c r="A594" s="32"/>
    </row>
    <row r="595">
      <c r="A595" s="32"/>
    </row>
    <row r="596">
      <c r="A596" s="32"/>
    </row>
    <row r="597">
      <c r="A597" s="32"/>
    </row>
    <row r="598">
      <c r="A598" s="32"/>
    </row>
    <row r="599">
      <c r="A599" s="32"/>
    </row>
    <row r="600">
      <c r="A600" s="32"/>
    </row>
    <row r="601">
      <c r="A601" s="32"/>
    </row>
    <row r="602">
      <c r="A602" s="32"/>
    </row>
    <row r="603">
      <c r="A603" s="32"/>
    </row>
    <row r="604">
      <c r="A604" s="32"/>
    </row>
    <row r="605">
      <c r="A605" s="32"/>
    </row>
    <row r="606">
      <c r="A606" s="32"/>
    </row>
    <row r="607">
      <c r="A607" s="32"/>
    </row>
    <row r="608">
      <c r="A608" s="32"/>
    </row>
    <row r="609">
      <c r="A609" s="32"/>
    </row>
    <row r="610">
      <c r="A610" s="32"/>
    </row>
    <row r="611">
      <c r="A611" s="32"/>
    </row>
    <row r="612">
      <c r="A612" s="32"/>
    </row>
    <row r="613">
      <c r="A613" s="32"/>
    </row>
    <row r="614">
      <c r="A614" s="32"/>
    </row>
    <row r="615">
      <c r="A615" s="32"/>
    </row>
    <row r="616">
      <c r="A616" s="32"/>
    </row>
    <row r="617">
      <c r="A617" s="32"/>
    </row>
    <row r="618">
      <c r="A618" s="32"/>
    </row>
    <row r="619">
      <c r="A619" s="32"/>
    </row>
    <row r="620">
      <c r="A620" s="32"/>
    </row>
    <row r="621">
      <c r="A621" s="32"/>
    </row>
    <row r="622">
      <c r="A622" s="32"/>
    </row>
    <row r="623">
      <c r="A623" s="32"/>
    </row>
    <row r="624">
      <c r="A624" s="32"/>
    </row>
    <row r="625">
      <c r="A625" s="32"/>
    </row>
    <row r="626">
      <c r="A626" s="32"/>
    </row>
    <row r="627">
      <c r="A627" s="32"/>
    </row>
    <row r="628">
      <c r="A628" s="32"/>
    </row>
    <row r="629">
      <c r="A629" s="32"/>
    </row>
    <row r="630">
      <c r="A630" s="32"/>
    </row>
    <row r="631">
      <c r="A631" s="32"/>
    </row>
    <row r="632">
      <c r="A632" s="32"/>
    </row>
    <row r="633">
      <c r="A633" s="32"/>
    </row>
    <row r="634">
      <c r="A634" s="32"/>
    </row>
    <row r="635">
      <c r="A635" s="32"/>
    </row>
    <row r="636">
      <c r="A636" s="32"/>
    </row>
    <row r="637">
      <c r="A637" s="32"/>
    </row>
    <row r="638">
      <c r="A638" s="32"/>
    </row>
    <row r="639">
      <c r="A639" s="32"/>
    </row>
    <row r="640">
      <c r="A640" s="32"/>
    </row>
    <row r="641">
      <c r="A641" s="32"/>
    </row>
    <row r="642">
      <c r="A642" s="32"/>
    </row>
    <row r="643">
      <c r="A643" s="32"/>
    </row>
    <row r="644">
      <c r="A644" s="32"/>
    </row>
    <row r="645">
      <c r="A645" s="32"/>
    </row>
    <row r="646">
      <c r="A646" s="32"/>
    </row>
    <row r="647">
      <c r="A647" s="32"/>
    </row>
    <row r="648">
      <c r="A648" s="32"/>
    </row>
    <row r="649">
      <c r="A649" s="32"/>
    </row>
    <row r="650">
      <c r="A650" s="32"/>
    </row>
    <row r="651">
      <c r="A651" s="32"/>
    </row>
    <row r="652">
      <c r="A652" s="32"/>
    </row>
    <row r="653">
      <c r="A653" s="32"/>
    </row>
    <row r="654">
      <c r="A654" s="32"/>
    </row>
    <row r="655">
      <c r="A655" s="32"/>
    </row>
    <row r="656">
      <c r="A656" s="32"/>
    </row>
    <row r="657">
      <c r="A657" s="32"/>
    </row>
    <row r="658">
      <c r="A658" s="32"/>
    </row>
    <row r="659">
      <c r="A659" s="32"/>
    </row>
    <row r="660">
      <c r="A660" s="32"/>
    </row>
    <row r="661">
      <c r="A661" s="32"/>
    </row>
    <row r="662">
      <c r="A662" s="32"/>
    </row>
    <row r="663">
      <c r="A663" s="32"/>
    </row>
    <row r="664">
      <c r="A664" s="32"/>
    </row>
    <row r="665">
      <c r="A665" s="32"/>
    </row>
    <row r="666">
      <c r="A666" s="32"/>
    </row>
    <row r="667">
      <c r="A667" s="32"/>
    </row>
    <row r="668">
      <c r="A668" s="32"/>
    </row>
    <row r="669">
      <c r="A669" s="32"/>
    </row>
    <row r="670">
      <c r="A670" s="32"/>
    </row>
    <row r="671">
      <c r="A671" s="32"/>
    </row>
    <row r="672">
      <c r="A672" s="32"/>
    </row>
    <row r="673">
      <c r="A673" s="32"/>
    </row>
    <row r="674">
      <c r="A674" s="32"/>
    </row>
    <row r="675">
      <c r="A675" s="32"/>
    </row>
    <row r="676">
      <c r="A676" s="32"/>
    </row>
    <row r="677">
      <c r="A677" s="32"/>
    </row>
    <row r="678">
      <c r="A678" s="32"/>
    </row>
    <row r="679">
      <c r="A679" s="32"/>
    </row>
    <row r="680">
      <c r="A680" s="32"/>
    </row>
    <row r="681">
      <c r="A681" s="32"/>
    </row>
    <row r="682">
      <c r="A682" s="32"/>
    </row>
    <row r="683">
      <c r="A683" s="32"/>
    </row>
    <row r="684">
      <c r="A684" s="32"/>
    </row>
    <row r="685">
      <c r="A685" s="32"/>
    </row>
    <row r="686">
      <c r="A686" s="32"/>
    </row>
    <row r="687">
      <c r="A687" s="32"/>
    </row>
    <row r="688">
      <c r="A688" s="32"/>
    </row>
    <row r="689">
      <c r="A689" s="32"/>
    </row>
    <row r="690">
      <c r="A690" s="32"/>
    </row>
    <row r="691">
      <c r="A691" s="32"/>
    </row>
    <row r="692">
      <c r="A692" s="32"/>
    </row>
    <row r="693">
      <c r="A693" s="32"/>
    </row>
    <row r="694">
      <c r="A694" s="32"/>
    </row>
    <row r="695">
      <c r="A695" s="32"/>
    </row>
    <row r="696">
      <c r="A696" s="32"/>
    </row>
    <row r="697">
      <c r="A697" s="32"/>
    </row>
    <row r="698">
      <c r="A698" s="32"/>
    </row>
    <row r="699">
      <c r="A699" s="32"/>
    </row>
    <row r="700">
      <c r="A700" s="32"/>
    </row>
    <row r="701">
      <c r="A701" s="32"/>
    </row>
    <row r="702">
      <c r="A702" s="32"/>
    </row>
    <row r="703">
      <c r="A703" s="32"/>
    </row>
    <row r="704">
      <c r="A704" s="32"/>
    </row>
    <row r="705">
      <c r="A705" s="32"/>
    </row>
    <row r="706">
      <c r="A706" s="32"/>
    </row>
    <row r="707">
      <c r="A707" s="32"/>
    </row>
    <row r="708">
      <c r="A708" s="32"/>
    </row>
    <row r="709">
      <c r="A709" s="32"/>
    </row>
    <row r="710">
      <c r="A710" s="32"/>
    </row>
    <row r="711">
      <c r="A711" s="32"/>
    </row>
    <row r="712">
      <c r="A712" s="32"/>
    </row>
    <row r="713">
      <c r="A713" s="32"/>
    </row>
    <row r="714">
      <c r="A714" s="32"/>
    </row>
    <row r="715">
      <c r="A715" s="32"/>
    </row>
    <row r="716">
      <c r="A716" s="32"/>
    </row>
    <row r="717">
      <c r="A717" s="32"/>
    </row>
    <row r="718">
      <c r="A718" s="32"/>
    </row>
    <row r="719">
      <c r="A719" s="32"/>
    </row>
    <row r="720">
      <c r="A720" s="32"/>
    </row>
    <row r="721">
      <c r="A721" s="32"/>
    </row>
    <row r="722">
      <c r="A722" s="32"/>
    </row>
    <row r="723">
      <c r="A723" s="32"/>
    </row>
    <row r="724">
      <c r="A724" s="32"/>
    </row>
    <row r="725">
      <c r="A725" s="32"/>
    </row>
    <row r="726">
      <c r="A726" s="32"/>
    </row>
    <row r="727">
      <c r="A727" s="32"/>
    </row>
    <row r="728">
      <c r="A728" s="32"/>
    </row>
    <row r="729">
      <c r="A729" s="32"/>
    </row>
    <row r="730">
      <c r="A730" s="32"/>
    </row>
    <row r="731">
      <c r="A731" s="32"/>
    </row>
    <row r="732">
      <c r="A732" s="32"/>
    </row>
    <row r="733">
      <c r="A733" s="32"/>
    </row>
    <row r="734">
      <c r="A734" s="32"/>
    </row>
    <row r="735">
      <c r="A735" s="32"/>
    </row>
    <row r="736">
      <c r="A736" s="32"/>
    </row>
    <row r="737">
      <c r="A737" s="32"/>
    </row>
    <row r="738">
      <c r="A738" s="32"/>
    </row>
    <row r="739">
      <c r="A739" s="32"/>
    </row>
    <row r="740">
      <c r="A740" s="32"/>
    </row>
    <row r="741">
      <c r="A741" s="32"/>
    </row>
    <row r="742">
      <c r="A742" s="32"/>
    </row>
    <row r="743">
      <c r="A743" s="32"/>
    </row>
    <row r="744">
      <c r="A744" s="32"/>
    </row>
    <row r="745">
      <c r="A745" s="32"/>
    </row>
    <row r="746">
      <c r="A746" s="32"/>
    </row>
    <row r="747">
      <c r="A747" s="32"/>
    </row>
    <row r="748">
      <c r="A748" s="32"/>
    </row>
    <row r="749">
      <c r="A749" s="32"/>
    </row>
    <row r="750">
      <c r="A750" s="32"/>
    </row>
    <row r="751">
      <c r="A751" s="32"/>
    </row>
    <row r="752">
      <c r="A752" s="32"/>
    </row>
    <row r="753">
      <c r="A753" s="32"/>
    </row>
    <row r="754">
      <c r="A754" s="32"/>
    </row>
    <row r="755">
      <c r="A755" s="32"/>
    </row>
    <row r="756">
      <c r="A756" s="32"/>
    </row>
    <row r="757">
      <c r="A757" s="32"/>
    </row>
    <row r="758">
      <c r="A758" s="32"/>
    </row>
    <row r="759">
      <c r="A759" s="32"/>
    </row>
    <row r="760">
      <c r="A760" s="32"/>
    </row>
    <row r="761">
      <c r="A761" s="32"/>
    </row>
    <row r="762">
      <c r="A762" s="32"/>
    </row>
    <row r="763">
      <c r="A763" s="32"/>
    </row>
    <row r="764">
      <c r="A764" s="32"/>
    </row>
    <row r="765">
      <c r="A765" s="32"/>
    </row>
    <row r="766">
      <c r="A766" s="32"/>
    </row>
    <row r="767">
      <c r="A767" s="32"/>
    </row>
    <row r="768">
      <c r="A768" s="32"/>
    </row>
    <row r="769">
      <c r="A769" s="32"/>
    </row>
    <row r="770">
      <c r="A770" s="32"/>
    </row>
    <row r="771">
      <c r="A771" s="32"/>
    </row>
    <row r="772">
      <c r="A772" s="32"/>
    </row>
    <row r="773">
      <c r="A773" s="32"/>
    </row>
    <row r="774">
      <c r="A774" s="32"/>
    </row>
    <row r="775">
      <c r="A775" s="32"/>
    </row>
    <row r="776">
      <c r="A776" s="32"/>
    </row>
    <row r="777">
      <c r="A777" s="32"/>
    </row>
    <row r="778">
      <c r="A778" s="32"/>
    </row>
    <row r="779">
      <c r="A779" s="32"/>
    </row>
    <row r="780">
      <c r="A780" s="32"/>
    </row>
    <row r="781">
      <c r="A781" s="32"/>
    </row>
    <row r="782">
      <c r="A782" s="32"/>
    </row>
    <row r="783">
      <c r="A783" s="32"/>
    </row>
    <row r="784">
      <c r="A784" s="32"/>
    </row>
    <row r="785">
      <c r="A785" s="32"/>
    </row>
    <row r="786">
      <c r="A786" s="32"/>
    </row>
    <row r="787">
      <c r="A787" s="32"/>
    </row>
    <row r="788">
      <c r="A788" s="32"/>
    </row>
    <row r="789">
      <c r="A789" s="32"/>
    </row>
    <row r="790">
      <c r="A790" s="32"/>
    </row>
    <row r="791">
      <c r="A791" s="32"/>
    </row>
    <row r="792">
      <c r="A792" s="32"/>
    </row>
    <row r="793">
      <c r="A793" s="32"/>
    </row>
    <row r="794">
      <c r="A794" s="32"/>
    </row>
    <row r="795">
      <c r="A795" s="32"/>
    </row>
    <row r="796">
      <c r="A796" s="32"/>
    </row>
    <row r="797">
      <c r="A797" s="32"/>
    </row>
    <row r="798">
      <c r="A798" s="32"/>
    </row>
    <row r="799">
      <c r="A799" s="32"/>
    </row>
    <row r="800">
      <c r="A800" s="32"/>
    </row>
    <row r="801">
      <c r="A801" s="32"/>
    </row>
    <row r="802">
      <c r="A802" s="32"/>
    </row>
    <row r="803">
      <c r="A803" s="32"/>
    </row>
    <row r="804">
      <c r="A804" s="32"/>
    </row>
    <row r="805">
      <c r="A805" s="32"/>
    </row>
    <row r="806">
      <c r="A806" s="32"/>
    </row>
    <row r="807">
      <c r="A807" s="32"/>
    </row>
    <row r="808">
      <c r="A808" s="32"/>
    </row>
    <row r="809">
      <c r="A809" s="32"/>
    </row>
    <row r="810">
      <c r="A810" s="32"/>
    </row>
    <row r="811">
      <c r="A811" s="32"/>
    </row>
    <row r="812">
      <c r="A812" s="32"/>
    </row>
    <row r="813">
      <c r="A813" s="32"/>
    </row>
    <row r="814">
      <c r="A814" s="32"/>
    </row>
    <row r="815">
      <c r="A815" s="32"/>
    </row>
    <row r="816">
      <c r="A816" s="32"/>
    </row>
    <row r="817">
      <c r="A817" s="32"/>
    </row>
    <row r="818">
      <c r="A818" s="32"/>
    </row>
    <row r="819">
      <c r="A819" s="32"/>
    </row>
    <row r="820">
      <c r="A820" s="32"/>
    </row>
    <row r="821">
      <c r="A821" s="32"/>
    </row>
    <row r="822">
      <c r="A822" s="32"/>
    </row>
    <row r="823">
      <c r="A823" s="32"/>
    </row>
    <row r="824">
      <c r="A824" s="32"/>
    </row>
    <row r="825">
      <c r="A825" s="32"/>
    </row>
    <row r="826">
      <c r="A826" s="32"/>
    </row>
    <row r="827">
      <c r="A827" s="32"/>
    </row>
    <row r="828">
      <c r="A828" s="32"/>
    </row>
    <row r="829">
      <c r="A829" s="32"/>
    </row>
    <row r="830">
      <c r="A830" s="32"/>
    </row>
    <row r="831">
      <c r="A831" s="32"/>
    </row>
    <row r="832">
      <c r="A832" s="32"/>
    </row>
    <row r="833">
      <c r="A833" s="32"/>
    </row>
    <row r="834">
      <c r="A834" s="32"/>
    </row>
    <row r="835">
      <c r="A835" s="32"/>
    </row>
    <row r="836">
      <c r="A836" s="32"/>
    </row>
    <row r="837">
      <c r="A837" s="32"/>
    </row>
    <row r="838">
      <c r="A838" s="32"/>
    </row>
    <row r="839">
      <c r="A839" s="32"/>
    </row>
    <row r="840">
      <c r="A840" s="32"/>
    </row>
    <row r="841">
      <c r="A841" s="32"/>
    </row>
    <row r="842">
      <c r="A842" s="32"/>
    </row>
    <row r="843">
      <c r="A843" s="32"/>
    </row>
    <row r="844">
      <c r="A844" s="32"/>
    </row>
    <row r="845">
      <c r="A845" s="32"/>
    </row>
    <row r="846">
      <c r="A846" s="32"/>
    </row>
    <row r="847">
      <c r="A847" s="32"/>
    </row>
    <row r="848">
      <c r="A848" s="32"/>
    </row>
    <row r="849">
      <c r="A849" s="32"/>
    </row>
    <row r="850">
      <c r="A850" s="32"/>
    </row>
    <row r="851">
      <c r="A851" s="32"/>
    </row>
    <row r="852">
      <c r="A852" s="32"/>
    </row>
    <row r="853">
      <c r="A853" s="32"/>
    </row>
    <row r="854">
      <c r="A854" s="32"/>
    </row>
    <row r="855">
      <c r="A855" s="32"/>
    </row>
    <row r="856">
      <c r="A856" s="32"/>
    </row>
    <row r="857">
      <c r="A857" s="32"/>
    </row>
    <row r="858">
      <c r="A858" s="32"/>
    </row>
    <row r="859">
      <c r="A859" s="32"/>
    </row>
    <row r="860">
      <c r="A860" s="32"/>
    </row>
    <row r="861">
      <c r="A861" s="32"/>
    </row>
    <row r="862">
      <c r="A862" s="32"/>
    </row>
    <row r="863">
      <c r="A863" s="32"/>
    </row>
    <row r="864">
      <c r="A864" s="32"/>
    </row>
    <row r="865">
      <c r="A865" s="32"/>
    </row>
    <row r="866">
      <c r="A866" s="32"/>
    </row>
    <row r="867">
      <c r="A867" s="32"/>
    </row>
    <row r="868">
      <c r="A868" s="32"/>
    </row>
    <row r="869">
      <c r="A869" s="32"/>
    </row>
    <row r="870">
      <c r="A870" s="32"/>
    </row>
    <row r="871">
      <c r="A871" s="32"/>
    </row>
    <row r="872">
      <c r="A872" s="32"/>
    </row>
    <row r="873">
      <c r="A873" s="32"/>
    </row>
    <row r="874">
      <c r="A874" s="32"/>
    </row>
    <row r="875">
      <c r="A875" s="32"/>
    </row>
    <row r="876">
      <c r="A876" s="32"/>
    </row>
    <row r="877">
      <c r="A877" s="32"/>
    </row>
    <row r="878">
      <c r="A878" s="32"/>
    </row>
    <row r="879">
      <c r="A879" s="32"/>
    </row>
    <row r="880">
      <c r="A880" s="32"/>
    </row>
    <row r="881">
      <c r="A881" s="32"/>
    </row>
    <row r="882">
      <c r="A882" s="32"/>
    </row>
    <row r="883">
      <c r="A883" s="32"/>
    </row>
    <row r="884">
      <c r="A884" s="32"/>
    </row>
    <row r="885">
      <c r="A885" s="32"/>
    </row>
    <row r="886">
      <c r="A886" s="32"/>
    </row>
    <row r="887">
      <c r="A887" s="32"/>
    </row>
    <row r="888">
      <c r="A888" s="32"/>
    </row>
    <row r="889">
      <c r="A889" s="32"/>
    </row>
    <row r="890">
      <c r="A890" s="32"/>
    </row>
    <row r="891">
      <c r="A891" s="32"/>
    </row>
    <row r="892">
      <c r="A892" s="32"/>
    </row>
    <row r="893">
      <c r="A893" s="32"/>
    </row>
    <row r="894">
      <c r="A894" s="32"/>
    </row>
    <row r="895">
      <c r="A895" s="32"/>
    </row>
    <row r="896">
      <c r="A896" s="32"/>
    </row>
    <row r="897">
      <c r="A897" s="32"/>
    </row>
    <row r="898">
      <c r="A898" s="32"/>
    </row>
    <row r="899">
      <c r="A899" s="32"/>
    </row>
    <row r="900">
      <c r="A900" s="32"/>
    </row>
    <row r="901">
      <c r="A901" s="32"/>
    </row>
    <row r="902">
      <c r="A902" s="32"/>
    </row>
    <row r="903">
      <c r="A903" s="32"/>
    </row>
    <row r="904">
      <c r="A904" s="32"/>
    </row>
    <row r="905">
      <c r="A905" s="32"/>
    </row>
    <row r="906">
      <c r="A906" s="32"/>
    </row>
    <row r="907">
      <c r="A907" s="32"/>
    </row>
    <row r="908">
      <c r="A908" s="32"/>
    </row>
    <row r="909">
      <c r="A909" s="32"/>
    </row>
    <row r="910">
      <c r="A910" s="32"/>
    </row>
    <row r="911">
      <c r="A911" s="32"/>
    </row>
    <row r="912">
      <c r="A912" s="32"/>
    </row>
    <row r="913">
      <c r="A913" s="32"/>
    </row>
    <row r="914">
      <c r="A914" s="32"/>
    </row>
    <row r="915">
      <c r="A915" s="32"/>
    </row>
    <row r="916">
      <c r="A916" s="32"/>
    </row>
    <row r="917">
      <c r="A917" s="32"/>
    </row>
    <row r="918">
      <c r="A918" s="32"/>
    </row>
    <row r="919">
      <c r="A919" s="32"/>
    </row>
    <row r="920">
      <c r="A920" s="32"/>
    </row>
    <row r="921">
      <c r="A921" s="32"/>
    </row>
    <row r="922">
      <c r="A922" s="32"/>
    </row>
    <row r="923">
      <c r="A923" s="32"/>
    </row>
    <row r="924">
      <c r="A924" s="32"/>
    </row>
    <row r="925">
      <c r="A925" s="32"/>
    </row>
    <row r="926">
      <c r="A926" s="32"/>
    </row>
    <row r="927">
      <c r="A927" s="32"/>
    </row>
    <row r="928">
      <c r="A928" s="32"/>
    </row>
    <row r="929">
      <c r="A929" s="32"/>
    </row>
    <row r="930">
      <c r="A930" s="32"/>
    </row>
    <row r="931">
      <c r="A931" s="32"/>
    </row>
    <row r="932">
      <c r="A932" s="32"/>
    </row>
    <row r="933">
      <c r="A933" s="32"/>
    </row>
    <row r="934">
      <c r="A934" s="32"/>
    </row>
    <row r="935">
      <c r="A935" s="32"/>
    </row>
    <row r="936">
      <c r="A936" s="32"/>
    </row>
    <row r="937">
      <c r="A937" s="32"/>
    </row>
    <row r="938">
      <c r="A938" s="32"/>
    </row>
    <row r="939">
      <c r="A939" s="32"/>
    </row>
    <row r="940">
      <c r="A940" s="32"/>
    </row>
    <row r="941">
      <c r="A941" s="32"/>
    </row>
    <row r="942">
      <c r="A942" s="32"/>
    </row>
    <row r="943">
      <c r="A943" s="32"/>
    </row>
    <row r="944">
      <c r="A944" s="32"/>
    </row>
    <row r="945">
      <c r="A945" s="32"/>
    </row>
    <row r="946">
      <c r="A946" s="32"/>
    </row>
    <row r="947">
      <c r="A947" s="32"/>
    </row>
    <row r="948">
      <c r="A948" s="32"/>
    </row>
    <row r="949">
      <c r="A949" s="32"/>
    </row>
    <row r="950">
      <c r="A950" s="32"/>
    </row>
    <row r="951">
      <c r="A951" s="32"/>
    </row>
    <row r="952">
      <c r="A952" s="32"/>
    </row>
    <row r="953">
      <c r="A953" s="32"/>
    </row>
    <row r="954">
      <c r="A954" s="32"/>
    </row>
    <row r="955">
      <c r="A955" s="32"/>
    </row>
    <row r="956">
      <c r="A956" s="32"/>
    </row>
    <row r="957">
      <c r="A957" s="32"/>
    </row>
    <row r="958">
      <c r="A958" s="32"/>
    </row>
    <row r="959">
      <c r="A959" s="32"/>
    </row>
    <row r="960">
      <c r="A960" s="32"/>
    </row>
    <row r="961">
      <c r="A961" s="32"/>
    </row>
    <row r="962">
      <c r="A962" s="32"/>
    </row>
    <row r="963">
      <c r="A963" s="32"/>
    </row>
    <row r="964">
      <c r="A964" s="32"/>
    </row>
    <row r="965">
      <c r="A965" s="32"/>
    </row>
    <row r="966">
      <c r="A966" s="32"/>
    </row>
    <row r="967">
      <c r="A967" s="32"/>
    </row>
    <row r="968">
      <c r="A968" s="32"/>
    </row>
    <row r="969">
      <c r="A969" s="32"/>
    </row>
    <row r="970">
      <c r="A970" s="32"/>
    </row>
    <row r="971">
      <c r="A971" s="32"/>
    </row>
    <row r="972">
      <c r="A972" s="32"/>
    </row>
    <row r="973">
      <c r="A973" s="32"/>
    </row>
    <row r="974">
      <c r="A974" s="32"/>
    </row>
    <row r="975">
      <c r="A975" s="32"/>
    </row>
    <row r="976">
      <c r="A976" s="32"/>
    </row>
    <row r="977">
      <c r="A977" s="32"/>
    </row>
    <row r="978">
      <c r="A978" s="32"/>
    </row>
    <row r="979">
      <c r="A979" s="32"/>
    </row>
    <row r="980">
      <c r="A980" s="32"/>
    </row>
    <row r="981">
      <c r="A981" s="32"/>
    </row>
    <row r="982">
      <c r="A982" s="32"/>
    </row>
    <row r="983">
      <c r="A983" s="32"/>
    </row>
    <row r="984">
      <c r="A984" s="32"/>
    </row>
    <row r="985">
      <c r="A985" s="32"/>
    </row>
    <row r="986">
      <c r="A986" s="32"/>
    </row>
    <row r="987">
      <c r="A987" s="32"/>
    </row>
    <row r="988">
      <c r="A988" s="32"/>
    </row>
    <row r="989">
      <c r="A989" s="32"/>
    </row>
    <row r="990">
      <c r="A990" s="32"/>
    </row>
    <row r="991">
      <c r="A991" s="32"/>
    </row>
    <row r="992">
      <c r="A992" s="32"/>
    </row>
    <row r="993">
      <c r="A993" s="32"/>
    </row>
    <row r="994">
      <c r="A994" s="32"/>
    </row>
    <row r="995">
      <c r="A995" s="32"/>
    </row>
    <row r="996">
      <c r="A996" s="32"/>
    </row>
    <row r="997">
      <c r="A997" s="32"/>
    </row>
    <row r="998">
      <c r="A998" s="32"/>
    </row>
    <row r="999">
      <c r="A999" s="32"/>
    </row>
    <row r="1000">
      <c r="A1000" s="3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71"/>
  </cols>
  <sheetData>
    <row r="1">
      <c r="A1" s="3" t="s">
        <v>1</v>
      </c>
    </row>
    <row r="3">
      <c r="A3" s="5" t="s">
        <v>3</v>
      </c>
      <c r="B3" s="7" t="s">
        <v>5</v>
      </c>
      <c r="C3" s="7" t="s">
        <v>6</v>
      </c>
    </row>
    <row r="4">
      <c r="A4" s="10"/>
      <c r="B4" s="7" t="s">
        <v>5</v>
      </c>
      <c r="C4" s="7" t="s">
        <v>9</v>
      </c>
    </row>
    <row r="5">
      <c r="A5" s="11"/>
      <c r="B5" s="7" t="s">
        <v>5</v>
      </c>
      <c r="C5" s="7" t="s">
        <v>11</v>
      </c>
    </row>
    <row r="6">
      <c r="A6" s="11"/>
      <c r="B6" s="7" t="s">
        <v>5</v>
      </c>
      <c r="C6" s="7" t="s">
        <v>13</v>
      </c>
    </row>
    <row r="7">
      <c r="A7" s="11"/>
      <c r="B7" s="7" t="s">
        <v>5</v>
      </c>
      <c r="C7" s="7" t="s">
        <v>15</v>
      </c>
    </row>
    <row r="8">
      <c r="A8" s="10"/>
      <c r="B8" s="7" t="s">
        <v>5</v>
      </c>
      <c r="C8" s="7" t="s">
        <v>19</v>
      </c>
    </row>
    <row r="9">
      <c r="A9" s="10"/>
      <c r="B9" s="7" t="s">
        <v>5</v>
      </c>
      <c r="C9" s="7" t="s">
        <v>21</v>
      </c>
    </row>
    <row r="10">
      <c r="A10" s="10"/>
      <c r="B10" s="7" t="s">
        <v>23</v>
      </c>
      <c r="C10" s="7" t="s">
        <v>24</v>
      </c>
    </row>
    <row r="11">
      <c r="A11" s="10"/>
      <c r="B11" s="7" t="s">
        <v>23</v>
      </c>
      <c r="C11" s="7" t="s">
        <v>26</v>
      </c>
    </row>
    <row r="12">
      <c r="A12" s="10"/>
      <c r="B12" s="7" t="s">
        <v>23</v>
      </c>
      <c r="C12" s="7" t="s">
        <v>27</v>
      </c>
    </row>
    <row r="13">
      <c r="B13" s="7" t="s">
        <v>23</v>
      </c>
      <c r="C13" s="7" t="s">
        <v>29</v>
      </c>
    </row>
    <row r="14">
      <c r="A14" s="10"/>
      <c r="B14" s="7" t="s">
        <v>23</v>
      </c>
      <c r="C14" s="18" t="s">
        <v>31</v>
      </c>
      <c r="D14" s="20"/>
      <c r="E14" s="20"/>
      <c r="F14" s="20"/>
    </row>
    <row r="15">
      <c r="A15" s="10"/>
      <c r="B15" s="7" t="s">
        <v>36</v>
      </c>
      <c r="C15" s="18" t="s">
        <v>38</v>
      </c>
      <c r="D15" s="20"/>
      <c r="E15" s="20"/>
      <c r="F15" s="20"/>
    </row>
    <row r="16">
      <c r="C16" s="18" t="s">
        <v>43</v>
      </c>
      <c r="D16" s="20"/>
      <c r="E16" s="20"/>
      <c r="F16" s="20"/>
    </row>
    <row r="17">
      <c r="C17" s="18" t="s">
        <v>45</v>
      </c>
      <c r="D17" s="20"/>
      <c r="E17" s="20"/>
      <c r="F17" s="20"/>
    </row>
    <row r="18">
      <c r="C18" s="18" t="s">
        <v>49</v>
      </c>
      <c r="D18" s="20"/>
      <c r="E18" s="20"/>
      <c r="F18" s="20"/>
    </row>
    <row r="19">
      <c r="C19" s="18" t="s">
        <v>52</v>
      </c>
      <c r="D19" s="20"/>
      <c r="E19" s="20"/>
      <c r="F19" s="20"/>
    </row>
    <row r="20">
      <c r="C20" s="7" t="s">
        <v>57</v>
      </c>
    </row>
    <row r="21">
      <c r="C21" s="7" t="s">
        <v>60</v>
      </c>
    </row>
    <row r="22">
      <c r="C22" s="7" t="s">
        <v>64</v>
      </c>
    </row>
    <row r="23">
      <c r="B23" s="7" t="s">
        <v>66</v>
      </c>
      <c r="C23" s="7" t="s">
        <v>67</v>
      </c>
    </row>
    <row r="25">
      <c r="A25" s="7" t="s">
        <v>69</v>
      </c>
      <c r="C25" s="7" t="s">
        <v>71</v>
      </c>
    </row>
    <row r="26">
      <c r="C26" s="7" t="s">
        <v>74</v>
      </c>
    </row>
    <row r="27">
      <c r="C27" s="7" t="s">
        <v>78</v>
      </c>
    </row>
    <row r="28">
      <c r="C28" s="7" t="s">
        <v>82</v>
      </c>
    </row>
    <row r="29">
      <c r="C29" s="7" t="s">
        <v>85</v>
      </c>
    </row>
    <row r="30">
      <c r="C30" s="7" t="s">
        <v>90</v>
      </c>
    </row>
    <row r="31">
      <c r="C31" s="7" t="s">
        <v>93</v>
      </c>
    </row>
    <row r="32">
      <c r="C32" s="7" t="s">
        <v>97</v>
      </c>
    </row>
    <row r="34">
      <c r="A34" s="7" t="s">
        <v>98</v>
      </c>
      <c r="C34" s="7" t="s">
        <v>99</v>
      </c>
    </row>
    <row r="35">
      <c r="C35" s="7" t="s">
        <v>102</v>
      </c>
    </row>
    <row r="36">
      <c r="C36" s="7" t="s">
        <v>106</v>
      </c>
    </row>
    <row r="38">
      <c r="A38" s="7" t="s">
        <v>108</v>
      </c>
      <c r="C38" s="7" t="s">
        <v>109</v>
      </c>
      <c r="D38" s="7" t="s">
        <v>110</v>
      </c>
    </row>
    <row r="39">
      <c r="A39" s="7"/>
      <c r="C39" s="7" t="s">
        <v>113</v>
      </c>
      <c r="D39" s="7" t="s">
        <v>114</v>
      </c>
    </row>
    <row r="40">
      <c r="A40" s="7"/>
      <c r="C40" s="7" t="s">
        <v>116</v>
      </c>
      <c r="D40" s="7" t="s">
        <v>117</v>
      </c>
    </row>
    <row r="41">
      <c r="A41" s="7"/>
      <c r="C41" s="7" t="s">
        <v>118</v>
      </c>
      <c r="D41" s="7" t="s">
        <v>119</v>
      </c>
    </row>
    <row r="42">
      <c r="A42" s="7"/>
      <c r="C42" s="7" t="s">
        <v>121</v>
      </c>
      <c r="D42" s="7" t="s">
        <v>122</v>
      </c>
    </row>
    <row r="43">
      <c r="A43" s="7"/>
      <c r="C43" s="7" t="s">
        <v>123</v>
      </c>
      <c r="D43" s="7" t="s">
        <v>124</v>
      </c>
    </row>
    <row r="44">
      <c r="A44" s="7"/>
      <c r="C44" s="7"/>
    </row>
    <row r="45">
      <c r="A45" s="7"/>
      <c r="C45" s="7"/>
    </row>
    <row r="46">
      <c r="A46" s="7" t="s">
        <v>128</v>
      </c>
      <c r="C46" s="7" t="s">
        <v>129</v>
      </c>
    </row>
    <row r="47">
      <c r="A47" s="7"/>
      <c r="C47" s="7"/>
    </row>
    <row r="48">
      <c r="A48" s="7" t="s">
        <v>134</v>
      </c>
      <c r="C48" s="18" t="s">
        <v>135</v>
      </c>
      <c r="D48" s="20"/>
    </row>
    <row r="49">
      <c r="C49" s="18" t="s">
        <v>137</v>
      </c>
      <c r="D49" s="20"/>
    </row>
    <row r="51">
      <c r="A51" s="7" t="s">
        <v>139</v>
      </c>
      <c r="C51" s="7" t="s">
        <v>140</v>
      </c>
      <c r="G51" s="7" t="s">
        <v>142</v>
      </c>
    </row>
    <row r="52">
      <c r="C52" s="7" t="s">
        <v>144</v>
      </c>
    </row>
    <row r="53">
      <c r="C53" s="7" t="s">
        <v>146</v>
      </c>
      <c r="D53" s="7" t="s">
        <v>147</v>
      </c>
    </row>
    <row r="56">
      <c r="A56" s="7" t="s">
        <v>148</v>
      </c>
      <c r="C56" s="7" t="s">
        <v>149</v>
      </c>
      <c r="D56" s="7" t="s">
        <v>150</v>
      </c>
      <c r="F56" s="7" t="s">
        <v>151</v>
      </c>
    </row>
    <row r="57">
      <c r="A57" s="7"/>
      <c r="C57" s="7" t="s">
        <v>153</v>
      </c>
      <c r="D57" s="7" t="s">
        <v>154</v>
      </c>
    </row>
    <row r="58">
      <c r="A58" s="7"/>
      <c r="C58" s="7" t="s">
        <v>155</v>
      </c>
      <c r="D58" s="7" t="s">
        <v>157</v>
      </c>
    </row>
    <row r="59">
      <c r="A59" s="7"/>
      <c r="C59" s="7"/>
      <c r="D59" s="7"/>
    </row>
    <row r="60">
      <c r="A60" s="7"/>
      <c r="C60" s="7"/>
      <c r="D60" s="7"/>
    </row>
    <row r="61">
      <c r="A61" s="7" t="s">
        <v>162</v>
      </c>
      <c r="C61" s="18" t="s">
        <v>163</v>
      </c>
      <c r="D61" s="18" t="s">
        <v>164</v>
      </c>
      <c r="E61" s="20"/>
    </row>
    <row r="62">
      <c r="C62" s="18" t="s">
        <v>166</v>
      </c>
      <c r="D62" s="18" t="s">
        <v>168</v>
      </c>
      <c r="E62" s="20"/>
    </row>
    <row r="63">
      <c r="C63" s="18" t="s">
        <v>169</v>
      </c>
      <c r="D63" s="18" t="s">
        <v>170</v>
      </c>
      <c r="E63" s="20"/>
    </row>
    <row r="64">
      <c r="C64" s="18" t="s">
        <v>172</v>
      </c>
      <c r="D64" s="18" t="s">
        <v>174</v>
      </c>
      <c r="E64" s="20"/>
    </row>
    <row r="65">
      <c r="C65" s="18" t="s">
        <v>177</v>
      </c>
      <c r="D65" s="18" t="s">
        <v>179</v>
      </c>
      <c r="E65" s="20"/>
    </row>
    <row r="66">
      <c r="C66" s="18" t="s">
        <v>181</v>
      </c>
      <c r="D66" s="18" t="s">
        <v>183</v>
      </c>
      <c r="E66" s="20"/>
    </row>
    <row r="67">
      <c r="A67" s="7"/>
      <c r="C67" s="18" t="s">
        <v>185</v>
      </c>
      <c r="D67" s="18" t="s">
        <v>187</v>
      </c>
      <c r="E67" s="20"/>
    </row>
    <row r="68">
      <c r="A68" s="7"/>
      <c r="C68" s="18" t="s">
        <v>189</v>
      </c>
      <c r="D68" s="18" t="s">
        <v>190</v>
      </c>
      <c r="E68" s="20"/>
    </row>
    <row r="69">
      <c r="A69" s="7"/>
      <c r="C69" s="18" t="s">
        <v>193</v>
      </c>
      <c r="D69" s="18" t="s">
        <v>196</v>
      </c>
      <c r="E69" s="20"/>
    </row>
    <row r="70">
      <c r="A70" s="7"/>
      <c r="C70" s="18" t="s">
        <v>198</v>
      </c>
      <c r="D70" s="18" t="s">
        <v>200</v>
      </c>
      <c r="E70" s="20"/>
    </row>
    <row r="71">
      <c r="A71" s="7"/>
      <c r="C71" s="7"/>
      <c r="D71" s="7"/>
    </row>
    <row r="72">
      <c r="A72" s="7" t="s">
        <v>203</v>
      </c>
      <c r="C72" s="7" t="s">
        <v>205</v>
      </c>
      <c r="D72" s="7" t="s">
        <v>206</v>
      </c>
    </row>
    <row r="73">
      <c r="C73" s="7" t="s">
        <v>207</v>
      </c>
      <c r="D73" s="7" t="s">
        <v>209</v>
      </c>
    </row>
    <row r="74">
      <c r="C74" s="7" t="s">
        <v>211</v>
      </c>
      <c r="D74" s="7" t="s">
        <v>212</v>
      </c>
    </row>
    <row r="75">
      <c r="C75" s="7" t="s">
        <v>214</v>
      </c>
      <c r="D75" s="7" t="s">
        <v>216</v>
      </c>
    </row>
    <row r="77">
      <c r="A77" s="5" t="s">
        <v>217</v>
      </c>
      <c r="C77" s="7" t="s">
        <v>219</v>
      </c>
      <c r="D77" s="7" t="s">
        <v>222</v>
      </c>
      <c r="E77" s="18" t="s">
        <v>223</v>
      </c>
    </row>
    <row r="78">
      <c r="A78" s="5"/>
      <c r="C78" s="7" t="s">
        <v>224</v>
      </c>
      <c r="D78" s="7" t="s">
        <v>226</v>
      </c>
      <c r="E78" s="18" t="s">
        <v>223</v>
      </c>
    </row>
    <row r="79">
      <c r="A79" s="10"/>
      <c r="C79" s="18" t="s">
        <v>229</v>
      </c>
      <c r="D79" s="18" t="s">
        <v>230</v>
      </c>
    </row>
    <row r="80">
      <c r="A80" s="5"/>
      <c r="C80" s="7" t="s">
        <v>231</v>
      </c>
      <c r="D80" s="7" t="s">
        <v>232</v>
      </c>
      <c r="E80" s="7" t="s">
        <v>235</v>
      </c>
    </row>
    <row r="81">
      <c r="A81" s="5"/>
      <c r="C81" s="7" t="s">
        <v>237</v>
      </c>
      <c r="D81" s="18" t="s">
        <v>238</v>
      </c>
    </row>
    <row r="82">
      <c r="A82" s="5"/>
      <c r="C82" s="7" t="s">
        <v>240</v>
      </c>
      <c r="D82" s="18" t="s">
        <v>241</v>
      </c>
    </row>
    <row r="83">
      <c r="A83" s="5" t="s">
        <v>242</v>
      </c>
      <c r="C83" s="7" t="s">
        <v>243</v>
      </c>
      <c r="D83" s="7" t="s">
        <v>244</v>
      </c>
    </row>
    <row r="85">
      <c r="A85" s="7" t="s">
        <v>246</v>
      </c>
      <c r="C85" s="18" t="s">
        <v>247</v>
      </c>
      <c r="D85" s="20"/>
    </row>
    <row r="86">
      <c r="C86" s="18"/>
      <c r="D86" s="20"/>
    </row>
    <row r="87">
      <c r="C87" s="18" t="s">
        <v>248</v>
      </c>
      <c r="D87" s="20"/>
    </row>
    <row r="88">
      <c r="C88" s="18" t="s">
        <v>250</v>
      </c>
      <c r="D88" s="20"/>
    </row>
    <row r="91">
      <c r="A91" s="5" t="s">
        <v>253</v>
      </c>
      <c r="C91" s="7" t="s">
        <v>255</v>
      </c>
    </row>
    <row r="92">
      <c r="A92" s="10"/>
      <c r="C92" s="7" t="s">
        <v>257</v>
      </c>
    </row>
    <row r="93">
      <c r="A93" s="10"/>
      <c r="C93" s="7" t="s">
        <v>259</v>
      </c>
    </row>
    <row r="94">
      <c r="C94" s="7" t="s">
        <v>260</v>
      </c>
    </row>
    <row r="95">
      <c r="C95" s="7" t="s">
        <v>262</v>
      </c>
    </row>
    <row r="96">
      <c r="C96" s="7" t="s">
        <v>263</v>
      </c>
    </row>
    <row r="97">
      <c r="C97" s="7" t="s">
        <v>265</v>
      </c>
    </row>
    <row r="99">
      <c r="A99" s="7" t="s">
        <v>267</v>
      </c>
      <c r="C99" s="7" t="s">
        <v>269</v>
      </c>
    </row>
    <row r="101">
      <c r="A101" s="7"/>
      <c r="C101" s="7"/>
    </row>
    <row r="102">
      <c r="A102" s="7" t="s">
        <v>271</v>
      </c>
      <c r="C102" s="7" t="s">
        <v>272</v>
      </c>
    </row>
    <row r="103">
      <c r="C103" s="7" t="s">
        <v>275</v>
      </c>
    </row>
    <row r="104">
      <c r="C104" s="7" t="s">
        <v>265</v>
      </c>
    </row>
    <row r="105">
      <c r="C105" s="7" t="s">
        <v>277</v>
      </c>
    </row>
    <row r="107">
      <c r="A107" s="7" t="s">
        <v>279</v>
      </c>
      <c r="C107" s="7" t="s">
        <v>281</v>
      </c>
    </row>
    <row r="108">
      <c r="A108" s="7" t="s">
        <v>282</v>
      </c>
      <c r="C108" s="7" t="s">
        <v>283</v>
      </c>
    </row>
    <row r="109">
      <c r="C109" s="7" t="s">
        <v>285</v>
      </c>
    </row>
    <row r="110">
      <c r="C110" s="7" t="s">
        <v>287</v>
      </c>
    </row>
    <row r="111">
      <c r="C111" s="7" t="s">
        <v>288</v>
      </c>
    </row>
    <row r="112">
      <c r="C112" s="7" t="s">
        <v>289</v>
      </c>
    </row>
    <row r="113">
      <c r="C113" s="7" t="s">
        <v>291</v>
      </c>
    </row>
    <row r="114">
      <c r="C114" s="7" t="s">
        <v>292</v>
      </c>
    </row>
    <row r="116">
      <c r="A116" s="7" t="s">
        <v>294</v>
      </c>
      <c r="C116" s="7" t="s">
        <v>296</v>
      </c>
      <c r="D116" s="7" t="s">
        <v>298</v>
      </c>
    </row>
    <row r="117">
      <c r="A117" s="10"/>
      <c r="C117" s="7" t="s">
        <v>299</v>
      </c>
    </row>
    <row r="118">
      <c r="A118" s="10"/>
      <c r="C118" s="7" t="s">
        <v>301</v>
      </c>
    </row>
    <row r="119">
      <c r="A119" s="10"/>
      <c r="C119" s="7" t="s">
        <v>302</v>
      </c>
    </row>
    <row r="120">
      <c r="A120" s="10"/>
      <c r="C120" s="7" t="s">
        <v>304</v>
      </c>
      <c r="D120" s="7" t="s">
        <v>305</v>
      </c>
    </row>
    <row r="121">
      <c r="A121" s="10"/>
    </row>
    <row r="122">
      <c r="A122" s="7" t="s">
        <v>307</v>
      </c>
      <c r="B122" s="7" t="s">
        <v>309</v>
      </c>
      <c r="C122" s="7" t="s">
        <v>310</v>
      </c>
    </row>
    <row r="123">
      <c r="C123" s="18" t="s">
        <v>312</v>
      </c>
      <c r="D123" s="20"/>
    </row>
    <row r="124">
      <c r="C124" s="18" t="s">
        <v>313</v>
      </c>
      <c r="D124" s="20"/>
    </row>
    <row r="125">
      <c r="C125" s="18" t="s">
        <v>315</v>
      </c>
      <c r="D125" s="20"/>
    </row>
    <row r="126">
      <c r="C126" s="18" t="s">
        <v>317</v>
      </c>
      <c r="D126" s="20"/>
    </row>
    <row r="127">
      <c r="C127" s="18" t="s">
        <v>318</v>
      </c>
      <c r="D127" s="20"/>
    </row>
    <row r="128">
      <c r="C128" s="18" t="s">
        <v>320</v>
      </c>
    </row>
    <row r="129">
      <c r="C129" s="7" t="s">
        <v>321</v>
      </c>
    </row>
    <row r="131">
      <c r="C131" s="7" t="s">
        <v>323</v>
      </c>
    </row>
    <row r="132">
      <c r="C132" s="7" t="s">
        <v>325</v>
      </c>
    </row>
    <row r="133">
      <c r="C133" s="7" t="s">
        <v>326</v>
      </c>
    </row>
    <row r="135">
      <c r="A135" s="7" t="s">
        <v>328</v>
      </c>
      <c r="C135" s="7" t="s">
        <v>329</v>
      </c>
      <c r="D135" s="7" t="s">
        <v>330</v>
      </c>
    </row>
    <row r="136">
      <c r="C136" s="7" t="s">
        <v>331</v>
      </c>
      <c r="D136" s="7" t="s">
        <v>330</v>
      </c>
    </row>
    <row r="137">
      <c r="C137" s="7" t="s">
        <v>332</v>
      </c>
      <c r="D137" s="7" t="s">
        <v>330</v>
      </c>
    </row>
    <row r="138">
      <c r="C138" s="7" t="s">
        <v>333</v>
      </c>
      <c r="D138" s="7" t="s">
        <v>334</v>
      </c>
    </row>
    <row r="139">
      <c r="C139" s="7" t="s">
        <v>337</v>
      </c>
      <c r="D139" s="7" t="s">
        <v>334</v>
      </c>
    </row>
    <row r="140">
      <c r="C140" s="7" t="s">
        <v>338</v>
      </c>
      <c r="D140" s="7" t="s">
        <v>334</v>
      </c>
    </row>
    <row r="141">
      <c r="C141" s="7" t="s">
        <v>341</v>
      </c>
      <c r="D141" s="7" t="s">
        <v>342</v>
      </c>
    </row>
    <row r="142">
      <c r="C142" s="7" t="s">
        <v>344</v>
      </c>
      <c r="D142" s="7" t="s">
        <v>342</v>
      </c>
    </row>
    <row r="143">
      <c r="C143" s="7" t="s">
        <v>346</v>
      </c>
      <c r="D143" s="7" t="s">
        <v>342</v>
      </c>
    </row>
    <row r="144">
      <c r="C144" s="7" t="s">
        <v>347</v>
      </c>
      <c r="D144" s="7" t="s">
        <v>348</v>
      </c>
    </row>
    <row r="145">
      <c r="C145" s="7" t="s">
        <v>349</v>
      </c>
      <c r="D145" s="7" t="s">
        <v>348</v>
      </c>
    </row>
    <row r="146">
      <c r="C146" s="7" t="s">
        <v>351</v>
      </c>
      <c r="D146" s="7" t="s">
        <v>348</v>
      </c>
    </row>
    <row r="147">
      <c r="C147" s="7" t="s">
        <v>352</v>
      </c>
      <c r="D147" s="7" t="s">
        <v>353</v>
      </c>
    </row>
    <row r="148">
      <c r="C148" s="7" t="s">
        <v>355</v>
      </c>
      <c r="D148" s="7" t="s">
        <v>353</v>
      </c>
    </row>
    <row r="152">
      <c r="A152" s="7" t="s">
        <v>358</v>
      </c>
      <c r="C152" s="7" t="s">
        <v>359</v>
      </c>
      <c r="D152" s="7" t="s">
        <v>360</v>
      </c>
    </row>
    <row r="153">
      <c r="C153" s="7" t="s">
        <v>361</v>
      </c>
      <c r="D153" s="7" t="s">
        <v>363</v>
      </c>
    </row>
    <row r="155">
      <c r="C155" s="7"/>
    </row>
    <row r="160">
      <c r="A160" s="7" t="s">
        <v>365</v>
      </c>
      <c r="C160" s="7" t="s">
        <v>366</v>
      </c>
      <c r="D160" s="7" t="s">
        <v>367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1.71"/>
    <col customWidth="1" min="2" max="2" width="8.14"/>
    <col customWidth="1" min="3" max="3" width="12.29"/>
    <col customWidth="1" min="4" max="4" width="8.14"/>
    <col customWidth="1" min="5" max="5" width="12.29"/>
    <col customWidth="1" min="6" max="6" width="8.14"/>
    <col customWidth="1" min="7" max="7" width="12.29"/>
    <col customWidth="1" min="9" max="9" width="22.43"/>
    <col customWidth="1" min="10" max="10" width="30.71"/>
    <col customWidth="1" min="11" max="11" width="44.71"/>
    <col customWidth="1" min="12" max="12" width="89.29"/>
  </cols>
  <sheetData>
    <row r="1">
      <c r="A1" s="12" t="s">
        <v>17</v>
      </c>
    </row>
    <row r="2" ht="28.5" customHeight="1">
      <c r="A2" s="15"/>
      <c r="B2" s="16"/>
      <c r="C2" s="17"/>
      <c r="D2" s="16"/>
      <c r="E2" s="15"/>
      <c r="F2" s="16"/>
      <c r="G2" s="15"/>
      <c r="L2" s="21"/>
    </row>
    <row r="3">
      <c r="A3" s="22" t="s">
        <v>35</v>
      </c>
      <c r="B3" s="24" t="s">
        <v>41</v>
      </c>
      <c r="C3" s="26" t="s">
        <v>48</v>
      </c>
      <c r="D3" s="24" t="s">
        <v>53</v>
      </c>
      <c r="E3" s="22" t="s">
        <v>48</v>
      </c>
      <c r="F3" s="24" t="s">
        <v>41</v>
      </c>
      <c r="G3" s="22" t="s">
        <v>48</v>
      </c>
      <c r="L3" s="21" t="s">
        <v>59</v>
      </c>
    </row>
    <row r="4" ht="285.75" customHeight="1">
      <c r="A4" s="27" t="s">
        <v>61</v>
      </c>
      <c r="B4" s="27"/>
      <c r="C4" s="28" t="s">
        <v>68</v>
      </c>
      <c r="D4" s="29"/>
      <c r="E4" s="30" t="s">
        <v>75</v>
      </c>
      <c r="F4" s="29"/>
      <c r="G4" s="27" t="s">
        <v>80</v>
      </c>
      <c r="J4" s="31" t="s">
        <v>83</v>
      </c>
      <c r="K4" s="31" t="s">
        <v>89</v>
      </c>
      <c r="L4" s="31" t="s">
        <v>94</v>
      </c>
    </row>
    <row r="5">
      <c r="A5" s="33"/>
      <c r="B5" s="33"/>
      <c r="C5" s="34"/>
      <c r="D5" s="33"/>
      <c r="E5" s="33"/>
      <c r="F5" s="33"/>
      <c r="G5" s="33"/>
      <c r="H5" s="33"/>
      <c r="I5" s="35" t="s">
        <v>100</v>
      </c>
      <c r="J5" s="35" t="s">
        <v>103</v>
      </c>
      <c r="K5" s="31" t="s">
        <v>104</v>
      </c>
      <c r="L5" s="31" t="s">
        <v>105</v>
      </c>
    </row>
    <row r="6">
      <c r="A6" s="33"/>
      <c r="B6" s="33"/>
      <c r="C6" s="34"/>
      <c r="D6" s="33"/>
      <c r="E6" s="33"/>
      <c r="F6" s="33"/>
      <c r="G6" s="33"/>
      <c r="H6" s="33"/>
      <c r="I6" s="37"/>
      <c r="J6" s="35" t="s">
        <v>111</v>
      </c>
      <c r="K6" s="31" t="s">
        <v>112</v>
      </c>
      <c r="L6" s="31" t="s">
        <v>115</v>
      </c>
    </row>
    <row r="7">
      <c r="A7" s="38"/>
      <c r="B7" s="38"/>
      <c r="C7" s="39">
        <v>10.0</v>
      </c>
      <c r="D7" s="40" t="s">
        <v>120</v>
      </c>
      <c r="H7" s="33"/>
      <c r="I7" s="33"/>
      <c r="J7" s="35" t="s">
        <v>125</v>
      </c>
      <c r="K7" s="31" t="s">
        <v>126</v>
      </c>
      <c r="L7" s="31" t="s">
        <v>127</v>
      </c>
    </row>
    <row r="8">
      <c r="A8" s="38"/>
      <c r="B8" s="38"/>
      <c r="C8" s="39">
        <v>11.0</v>
      </c>
      <c r="D8" s="40" t="s">
        <v>130</v>
      </c>
      <c r="I8" s="33"/>
      <c r="J8" s="35" t="s">
        <v>131</v>
      </c>
      <c r="K8" s="31" t="s">
        <v>132</v>
      </c>
      <c r="L8" s="31" t="s">
        <v>133</v>
      </c>
    </row>
    <row r="9">
      <c r="A9" s="38"/>
      <c r="B9" s="38"/>
      <c r="C9" s="39">
        <v>12.0</v>
      </c>
      <c r="D9" s="37"/>
      <c r="I9" s="33"/>
    </row>
    <row r="10">
      <c r="A10" s="38"/>
      <c r="B10" s="38"/>
      <c r="C10" s="39">
        <v>13.0</v>
      </c>
      <c r="D10" s="40" t="s">
        <v>136</v>
      </c>
      <c r="I10" s="33"/>
      <c r="J10" s="35" t="s">
        <v>138</v>
      </c>
      <c r="K10" s="31" t="s">
        <v>141</v>
      </c>
      <c r="L10" s="31" t="s">
        <v>143</v>
      </c>
    </row>
    <row r="11">
      <c r="A11" s="38"/>
      <c r="B11" s="38"/>
      <c r="C11" s="39">
        <v>14.0</v>
      </c>
      <c r="D11" s="40" t="s">
        <v>145</v>
      </c>
      <c r="I11" s="33"/>
      <c r="J11" s="35"/>
      <c r="K11" s="31"/>
      <c r="L11" s="31"/>
    </row>
    <row r="12">
      <c r="A12" s="38"/>
      <c r="B12" s="38"/>
      <c r="C12" s="39">
        <v>15.0</v>
      </c>
      <c r="D12" s="40" t="s">
        <v>152</v>
      </c>
      <c r="I12" s="33"/>
      <c r="J12" s="35" t="s">
        <v>158</v>
      </c>
      <c r="K12" s="31" t="s">
        <v>159</v>
      </c>
      <c r="L12" s="31" t="s">
        <v>160</v>
      </c>
    </row>
    <row r="13">
      <c r="A13" s="43"/>
      <c r="B13" s="43"/>
      <c r="C13" s="44"/>
      <c r="D13" s="40"/>
      <c r="I13" s="33"/>
      <c r="J13" s="35"/>
      <c r="K13" s="31"/>
      <c r="L13" s="31"/>
    </row>
    <row r="14">
      <c r="A14" s="43"/>
      <c r="B14" s="43"/>
      <c r="C14" s="44"/>
      <c r="D14" s="40"/>
      <c r="I14" s="33"/>
      <c r="J14" s="35"/>
      <c r="K14" s="31"/>
      <c r="L14" s="31"/>
    </row>
    <row r="15">
      <c r="A15" s="38"/>
      <c r="B15" s="38"/>
      <c r="C15" s="39">
        <v>31.0</v>
      </c>
      <c r="D15" s="40" t="s">
        <v>178</v>
      </c>
      <c r="I15" s="33"/>
      <c r="J15" s="35"/>
      <c r="K15" s="31"/>
      <c r="L15" s="31"/>
    </row>
    <row r="16">
      <c r="A16" s="38"/>
      <c r="B16" s="38"/>
      <c r="C16" s="39">
        <v>32.0</v>
      </c>
      <c r="D16" s="40" t="s">
        <v>184</v>
      </c>
      <c r="I16" s="33"/>
      <c r="J16" s="35"/>
      <c r="K16" s="45"/>
      <c r="L16" s="31"/>
    </row>
    <row r="17">
      <c r="A17" s="38"/>
      <c r="B17" s="38"/>
      <c r="C17" s="39">
        <v>33.0</v>
      </c>
      <c r="D17" s="40" t="s">
        <v>197</v>
      </c>
      <c r="I17" s="33"/>
      <c r="J17" s="35"/>
      <c r="K17" s="31"/>
      <c r="L17" s="31"/>
    </row>
    <row r="18">
      <c r="A18" s="38"/>
      <c r="B18" s="38"/>
      <c r="C18" s="39">
        <v>34.0</v>
      </c>
      <c r="D18" s="40" t="s">
        <v>221</v>
      </c>
      <c r="I18" s="33"/>
      <c r="J18" s="35"/>
      <c r="K18" s="31"/>
      <c r="L18" s="31"/>
    </row>
    <row r="19">
      <c r="A19" s="38"/>
      <c r="B19" s="38"/>
      <c r="C19" s="39">
        <v>35.0</v>
      </c>
      <c r="D19" s="40" t="s">
        <v>228</v>
      </c>
      <c r="I19" s="33"/>
      <c r="J19" s="35"/>
      <c r="K19" s="31"/>
      <c r="L19" s="31"/>
    </row>
    <row r="20">
      <c r="A20" s="38"/>
      <c r="B20" s="38"/>
      <c r="C20" s="39">
        <v>36.0</v>
      </c>
      <c r="D20" s="40" t="s">
        <v>233</v>
      </c>
      <c r="I20" s="33"/>
      <c r="J20" s="35"/>
      <c r="K20" s="31"/>
      <c r="L20" s="31"/>
    </row>
    <row r="21">
      <c r="A21" s="43"/>
      <c r="B21" s="43"/>
      <c r="C21" s="44"/>
      <c r="D21" s="40"/>
      <c r="I21" s="33"/>
      <c r="J21" s="35"/>
      <c r="K21" s="31"/>
      <c r="L21" s="31"/>
    </row>
    <row r="22">
      <c r="A22" s="43"/>
      <c r="B22" s="43"/>
      <c r="C22" s="44"/>
      <c r="D22" s="40"/>
      <c r="I22" s="33"/>
      <c r="J22" s="35"/>
      <c r="K22" s="31"/>
      <c r="L22" s="31"/>
    </row>
    <row r="23">
      <c r="A23" s="38"/>
      <c r="B23" s="38"/>
      <c r="C23" s="39">
        <v>41.0</v>
      </c>
      <c r="D23" s="40" t="s">
        <v>252</v>
      </c>
      <c r="I23" s="33"/>
      <c r="J23" s="35"/>
      <c r="K23" s="31"/>
      <c r="L23" s="31"/>
    </row>
    <row r="24">
      <c r="A24" s="38"/>
      <c r="B24" s="38"/>
      <c r="C24" s="39">
        <v>42.0</v>
      </c>
      <c r="D24" s="40" t="s">
        <v>258</v>
      </c>
      <c r="I24" s="33"/>
      <c r="J24" s="35"/>
      <c r="K24" s="31"/>
      <c r="L24" s="31"/>
    </row>
    <row r="25">
      <c r="A25" s="38"/>
      <c r="B25" s="38"/>
      <c r="C25" s="39">
        <v>43.0</v>
      </c>
      <c r="D25" s="40" t="s">
        <v>261</v>
      </c>
      <c r="I25" s="33"/>
      <c r="J25" s="35"/>
      <c r="K25" s="31"/>
      <c r="L25" s="31"/>
    </row>
    <row r="26">
      <c r="A26" s="38"/>
      <c r="B26" s="38"/>
      <c r="C26" s="39">
        <v>44.0</v>
      </c>
      <c r="D26" s="40" t="s">
        <v>266</v>
      </c>
      <c r="I26" s="33"/>
      <c r="J26" s="35"/>
      <c r="K26" s="31"/>
      <c r="L26" s="31"/>
    </row>
    <row r="27">
      <c r="A27" s="38"/>
      <c r="B27" s="38"/>
      <c r="C27" s="39">
        <v>45.0</v>
      </c>
      <c r="D27" s="40" t="s">
        <v>273</v>
      </c>
      <c r="I27" s="33"/>
      <c r="J27" s="35"/>
      <c r="K27" s="31"/>
      <c r="L27" s="31"/>
    </row>
    <row r="28">
      <c r="A28" s="38"/>
      <c r="B28" s="38"/>
      <c r="C28" s="39">
        <v>46.0</v>
      </c>
      <c r="D28" s="40" t="s">
        <v>278</v>
      </c>
      <c r="I28" s="33"/>
      <c r="J28" s="35"/>
      <c r="K28" s="31"/>
      <c r="L28" s="31"/>
    </row>
    <row r="29">
      <c r="A29" s="43"/>
      <c r="B29" s="43"/>
      <c r="C29" s="44"/>
      <c r="D29" s="40"/>
      <c r="I29" s="33"/>
      <c r="J29" s="35"/>
      <c r="K29" s="31"/>
      <c r="L29" s="31"/>
    </row>
    <row r="30">
      <c r="A30" s="43"/>
      <c r="B30" s="43"/>
      <c r="C30" s="44"/>
      <c r="D30" s="40"/>
      <c r="I30" s="33"/>
      <c r="J30" s="35"/>
      <c r="K30" s="31"/>
      <c r="L30" s="31"/>
    </row>
    <row r="31">
      <c r="A31" s="43"/>
      <c r="B31" s="43"/>
      <c r="C31" s="44"/>
      <c r="D31" s="37"/>
      <c r="I31" s="33"/>
      <c r="J31" s="35"/>
      <c r="K31" s="31"/>
      <c r="L31" s="31"/>
    </row>
    <row r="32">
      <c r="A32" s="38"/>
      <c r="B32" s="38"/>
      <c r="C32" s="39">
        <v>51.0</v>
      </c>
      <c r="D32" s="40" t="s">
        <v>295</v>
      </c>
      <c r="I32" s="33"/>
      <c r="J32" s="35"/>
      <c r="K32" s="31"/>
      <c r="L32" s="31"/>
    </row>
    <row r="33">
      <c r="A33" s="43"/>
      <c r="B33" s="43"/>
      <c r="C33" s="44"/>
      <c r="D33" s="37"/>
      <c r="I33" s="33"/>
      <c r="J33" s="35"/>
      <c r="K33" s="31"/>
      <c r="L33" s="31"/>
    </row>
    <row r="34">
      <c r="A34" s="38"/>
      <c r="B34" s="38"/>
      <c r="C34" s="39">
        <v>61.0</v>
      </c>
      <c r="D34" s="40" t="s">
        <v>306</v>
      </c>
      <c r="I34" s="33"/>
      <c r="J34" s="35"/>
      <c r="K34" s="31"/>
      <c r="L34" s="33"/>
    </row>
    <row r="35" ht="18.75" customHeight="1">
      <c r="A35" s="49"/>
      <c r="B35" s="49"/>
      <c r="C35" s="50"/>
      <c r="D35" s="51"/>
      <c r="H35" s="49"/>
      <c r="I35" s="49"/>
      <c r="J35" s="52"/>
      <c r="K35" s="52"/>
      <c r="L35" s="49"/>
    </row>
    <row r="36" ht="18.75" customHeight="1">
      <c r="A36" s="49"/>
      <c r="B36" s="49"/>
      <c r="C36" s="50"/>
      <c r="D36" s="51"/>
      <c r="H36" s="49"/>
      <c r="I36" s="49"/>
      <c r="J36" s="52"/>
      <c r="K36" s="52"/>
      <c r="L36" s="49"/>
    </row>
    <row r="37">
      <c r="A37" s="38"/>
      <c r="B37" s="38"/>
      <c r="C37" s="39">
        <v>64.0</v>
      </c>
      <c r="D37" s="40" t="s">
        <v>324</v>
      </c>
      <c r="I37" s="33"/>
      <c r="J37" s="35"/>
      <c r="K37" s="31"/>
      <c r="L37" s="33"/>
    </row>
    <row r="38">
      <c r="C38" s="53"/>
      <c r="D38" s="54"/>
      <c r="I38" s="33"/>
      <c r="J38" s="35"/>
      <c r="K38" s="31"/>
      <c r="L38" s="33"/>
    </row>
    <row r="39">
      <c r="C39" s="53"/>
      <c r="D39" s="54"/>
      <c r="I39" s="33"/>
      <c r="J39" s="35"/>
      <c r="K39" s="31"/>
      <c r="L39" s="33"/>
    </row>
    <row r="40">
      <c r="A40" s="38"/>
      <c r="B40" s="38"/>
      <c r="C40" s="39">
        <v>81.0</v>
      </c>
      <c r="D40" s="40" t="s">
        <v>340</v>
      </c>
      <c r="J40" s="35"/>
      <c r="K40" s="31"/>
    </row>
    <row r="41">
      <c r="A41" s="38"/>
      <c r="B41" s="38"/>
      <c r="C41" s="39">
        <v>82.0</v>
      </c>
      <c r="D41" s="40" t="s">
        <v>345</v>
      </c>
      <c r="J41" s="35"/>
      <c r="K41" s="31"/>
    </row>
    <row r="42">
      <c r="A42" s="38"/>
      <c r="B42" s="38"/>
      <c r="C42" s="39">
        <v>83.0</v>
      </c>
      <c r="D42" s="40" t="s">
        <v>350</v>
      </c>
      <c r="J42" s="35"/>
      <c r="K42" s="31"/>
    </row>
  </sheetData>
  <mergeCells count="37">
    <mergeCell ref="A1:L1"/>
    <mergeCell ref="D7:G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D33:G33"/>
    <mergeCell ref="D41:G41"/>
    <mergeCell ref="D42:G42"/>
    <mergeCell ref="D34:G34"/>
    <mergeCell ref="D35:G35"/>
    <mergeCell ref="D36:G36"/>
    <mergeCell ref="D37:G37"/>
    <mergeCell ref="D38:G38"/>
    <mergeCell ref="D39:G39"/>
    <mergeCell ref="D40:G4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5" width="66.14"/>
  </cols>
  <sheetData>
    <row r="1">
      <c r="A1" s="56" t="s">
        <v>377</v>
      </c>
      <c r="B1" s="56" t="s">
        <v>378</v>
      </c>
      <c r="C1" s="56" t="s">
        <v>379</v>
      </c>
      <c r="D1" s="56" t="s">
        <v>380</v>
      </c>
      <c r="E1" s="56" t="s">
        <v>381</v>
      </c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</row>
    <row r="2">
      <c r="A2" s="58" t="s">
        <v>382</v>
      </c>
      <c r="B2" s="59" t="str">
        <f>IFERROR(__xludf.DUMMYFUNCTION("GOOGLETRANSLATE(A2,""cs"",""en"")"),"Sidewall")</f>
        <v>Sidewall</v>
      </c>
      <c r="C2" s="59" t="str">
        <f>IFERROR(__xludf.DUMMYFUNCTION("GOOGLETRANSLATE(A2,""cs"",""fr"")"),"Paroi latérale")</f>
        <v>Paroi latérale</v>
      </c>
      <c r="D2" s="59" t="str">
        <f>IFERROR(__xludf.DUMMYFUNCTION("GOOGLETRANSLATE(A2,""cs"",""uk"")"),"Бокова стінка")</f>
        <v>Бокова стінка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>
      <c r="A3" s="60" t="s">
        <v>383</v>
      </c>
      <c r="B3" s="61" t="str">
        <f>IFERROR(__xludf.DUMMYFUNCTION("GOOGLETRANSLATE(A3,""cs"",""en"")"),"Forehead")</f>
        <v>Forehead</v>
      </c>
      <c r="C3" s="61" t="str">
        <f>IFERROR(__xludf.DUMMYFUNCTION("GOOGLETRANSLATE(A3,""cs"",""fr"")"),"Front")</f>
        <v>Front</v>
      </c>
      <c r="D3" s="61" t="str">
        <f>IFERROR(__xludf.DUMMYFUNCTION("GOOGLETRANSLATE(A3,""cs"",""uk"")"),"Лоб")</f>
        <v>Лоб</v>
      </c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</row>
    <row r="4">
      <c r="A4" s="58" t="s">
        <v>384</v>
      </c>
      <c r="B4" s="59" t="str">
        <f>IFERROR(__xludf.DUMMYFUNCTION("GOOGLETRANSLATE(A4,""cs"",""en"")"),"Lower reinforcement")</f>
        <v>Lower reinforcement</v>
      </c>
      <c r="C4" s="59" t="str">
        <f>IFERROR(__xludf.DUMMYFUNCTION("GOOGLETRANSLATE(A4,""cs"",""fr"")"),"Renforcement inférieur")</f>
        <v>Renforcement inférieur</v>
      </c>
      <c r="D4" s="59" t="str">
        <f>IFERROR(__xludf.DUMMYFUNCTION("GOOGLETRANSLATE(A4,""cs"",""uk"")"),"Нижнє армування")</f>
        <v>Нижнє армування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</row>
    <row r="5">
      <c r="A5" s="60" t="s">
        <v>385</v>
      </c>
      <c r="B5" s="61" t="str">
        <f>IFERROR(__xludf.DUMMYFUNCTION("GOOGLETRANSLATE(A5,""cs"",""en"")"),"Hook stretching")</f>
        <v>Hook stretching</v>
      </c>
      <c r="C5" s="61" t="str">
        <f>IFERROR(__xludf.DUMMYFUNCTION("GOOGLETRANSLATE(A5,""cs"",""fr"")"),"Étirement de crochet")</f>
        <v>Étirement de crochet</v>
      </c>
      <c r="D5" s="61" t="str">
        <f>IFERROR(__xludf.DUMMYFUNCTION("GOOGLETRANSLATE(A5,""cs"",""uk"")"),"Розтягування гачка")</f>
        <v>Розтягування гачка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</row>
    <row r="6">
      <c r="A6" s="58" t="s">
        <v>386</v>
      </c>
      <c r="B6" s="59" t="str">
        <f>IFERROR(__xludf.DUMMYFUNCTION("GOOGLETRANSLATE(A6,""cs"",""en"")"),"Top hem")</f>
        <v>Top hem</v>
      </c>
      <c r="C6" s="59" t="str">
        <f>IFERROR(__xludf.DUMMYFUNCTION("GOOGLETRANSLATE(A6,""cs"",""fr"")"),"ourlet supérieur")</f>
        <v>ourlet supérieur</v>
      </c>
      <c r="D6" s="59" t="str">
        <f>IFERROR(__xludf.DUMMYFUNCTION("GOOGLETRANSLATE(A6,""cs"",""uk"")"),"Верхній поділ")</f>
        <v>Верхній поділ</v>
      </c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</row>
    <row r="7">
      <c r="A7" s="60" t="s">
        <v>387</v>
      </c>
      <c r="B7" s="61" t="str">
        <f>IFERROR(__xludf.DUMMYFUNCTION("GOOGLETRANSLATE(A7,""cs"",""en"")"),"Upper reinforcement")</f>
        <v>Upper reinforcement</v>
      </c>
      <c r="C7" s="61" t="str">
        <f>IFERROR(__xludf.DUMMYFUNCTION("GOOGLETRANSLATE(A7,""cs"",""fr"")"),"Renfort supérieur")</f>
        <v>Renfort supérieur</v>
      </c>
      <c r="D7" s="61" t="str">
        <f>IFERROR(__xludf.DUMMYFUNCTION("GOOGLETRANSLATE(A7,""cs"",""uk"")"),"Верхнє армування")</f>
        <v>Верхнє армування</v>
      </c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</row>
    <row r="8">
      <c r="A8" s="58" t="s">
        <v>390</v>
      </c>
      <c r="B8" s="59" t="str">
        <f>IFERROR(__xludf.DUMMYFUNCTION("GOOGLETRANSLATE(A8,""cs"",""en"")"),"Rope pulling")</f>
        <v>Rope pulling</v>
      </c>
      <c r="C8" s="59" t="str">
        <f>IFERROR(__xludf.DUMMYFUNCTION("GOOGLETRANSLATE(A8,""cs"",""fr"")"),"Tir à la corde")</f>
        <v>Tir à la corde</v>
      </c>
      <c r="D8" s="59" t="str">
        <f>IFERROR(__xludf.DUMMYFUNCTION("GOOGLETRANSLATE(A8,""cs"",""uk"")"),"Перетягування мотузки")</f>
        <v>Перетягування мотузки</v>
      </c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</row>
    <row r="9">
      <c r="A9" s="60" t="s">
        <v>391</v>
      </c>
      <c r="B9" s="61" t="str">
        <f>IFERROR(__xludf.DUMMYFUNCTION("GOOGLETRANSLATE(A9,""cs"",""en"")"),"Skid")</f>
        <v>Skid</v>
      </c>
      <c r="C9" s="61" t="str">
        <f>IFERROR(__xludf.DUMMYFUNCTION("GOOGLETRANSLATE(A9,""cs"",""fr"")"),"Déraper")</f>
        <v>Déraper</v>
      </c>
      <c r="D9" s="61" t="str">
        <f>IFERROR(__xludf.DUMMYFUNCTION("GOOGLETRANSLATE(A9,""cs"",""uk"")"),"Полоз")</f>
        <v>Полоз</v>
      </c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</row>
    <row r="10">
      <c r="A10" s="58" t="s">
        <v>392</v>
      </c>
      <c r="B10" s="59" t="str">
        <f>IFERROR(__xludf.DUMMYFUNCTION("GOOGLETRANSLATE(A10,""cs"",""en"")"),"Beam")</f>
        <v>Beam</v>
      </c>
      <c r="C10" s="59" t="str">
        <f>IFERROR(__xludf.DUMMYFUNCTION("GOOGLETRANSLATE(A10,""cs"",""fr"")"),"Faisceau")</f>
        <v>Faisceau</v>
      </c>
      <c r="D10" s="59" t="str">
        <f>IFERROR(__xludf.DUMMYFUNCTION("GOOGLETRANSLATE(A10,""cs"",""uk"")"),"Промінь")</f>
        <v>Промінь</v>
      </c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</row>
    <row r="11">
      <c r="A11" s="60" t="s">
        <v>393</v>
      </c>
      <c r="B11" s="61" t="str">
        <f>IFERROR(__xludf.DUMMYFUNCTION("GOOGLETRANSLATE(A11,""cs"",""en"")"),"Lever")</f>
        <v>Lever</v>
      </c>
      <c r="C11" s="61" t="str">
        <f>IFERROR(__xludf.DUMMYFUNCTION("GOOGLETRANSLATE(A11,""cs"",""fr"")"),"Levier")</f>
        <v>Levier</v>
      </c>
      <c r="D11" s="61" t="str">
        <f>IFERROR(__xludf.DUMMYFUNCTION("GOOGLETRANSLATE(A11,""cs"",""uk"")"),"Важіль")</f>
        <v>Важіль</v>
      </c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</row>
    <row r="12">
      <c r="A12" s="58" t="s">
        <v>394</v>
      </c>
      <c r="B12" s="59" t="str">
        <f>IFERROR(__xludf.DUMMYFUNCTION("GOOGLETRANSLATE(A12,""cs"",""en"")"),"Hinges")</f>
        <v>Hinges</v>
      </c>
      <c r="C12" s="59" t="str">
        <f>IFERROR(__xludf.DUMMYFUNCTION("GOOGLETRANSLATE(A12,""cs"",""fr"")"),"Charnières")</f>
        <v>Charnières</v>
      </c>
      <c r="D12" s="59" t="str">
        <f>IFERROR(__xludf.DUMMYFUNCTION("GOOGLETRANSLATE(A12,""cs"",""uk"")"),"Петлі")</f>
        <v>Петлі</v>
      </c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</row>
    <row r="13">
      <c r="A13" s="60" t="s">
        <v>395</v>
      </c>
      <c r="B13" s="61" t="str">
        <f>IFERROR(__xludf.DUMMYFUNCTION("GOOGLETRANSLATE(A13,""cs"",""en"")"),"Sheet metal")</f>
        <v>Sheet metal</v>
      </c>
      <c r="C13" s="61" t="str">
        <f>IFERROR(__xludf.DUMMYFUNCTION("GOOGLETRANSLATE(A13,""cs"",""fr"")"),"Tôle")</f>
        <v>Tôle</v>
      </c>
      <c r="D13" s="61" t="str">
        <f>IFERROR(__xludf.DUMMYFUNCTION("GOOGLETRANSLATE(A13,""cs"",""uk"")"),"Листовий метал")</f>
        <v>Листовий метал</v>
      </c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>
      <c r="A14" s="58" t="s">
        <v>396</v>
      </c>
      <c r="B14" s="59" t="str">
        <f>IFERROR(__xludf.DUMMYFUNCTION("GOOGLETRANSLATE(A14,""cs"",""en"")"),"Floor")</f>
        <v>Floor</v>
      </c>
      <c r="C14" s="59" t="str">
        <f>IFERROR(__xludf.DUMMYFUNCTION("GOOGLETRANSLATE(A14,""cs"",""fr"")"),"Sol")</f>
        <v>Sol</v>
      </c>
      <c r="D14" s="59" t="str">
        <f>IFERROR(__xludf.DUMMYFUNCTION("GOOGLETRANSLATE(A14,""cs"",""uk"")"),"Підлога")</f>
        <v>Підлога</v>
      </c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</row>
    <row r="15">
      <c r="A15" s="60" t="s">
        <v>415</v>
      </c>
      <c r="B15" s="61" t="str">
        <f>IFERROR(__xludf.DUMMYFUNCTION("GOOGLETRANSLATE(A15,""cs"",""en"")"),"Flange")</f>
        <v>Flange</v>
      </c>
      <c r="C15" s="61" t="str">
        <f>IFERROR(__xludf.DUMMYFUNCTION("GOOGLETRANSLATE(A15,""cs"",""fr"")"),"Bride")</f>
        <v>Bride</v>
      </c>
      <c r="D15" s="61" t="str">
        <f>IFERROR(__xludf.DUMMYFUNCTION("GOOGLETRANSLATE(A15,""cs"",""uk"")"),"Фланець")</f>
        <v>Фланець</v>
      </c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</row>
    <row r="16">
      <c r="A16" s="58" t="s">
        <v>436</v>
      </c>
      <c r="B16" s="59" t="str">
        <f>IFERROR(__xludf.DUMMYFUNCTION("GOOGLETRANSLATE(A16,""cs"",""en"")"),"Farm")</f>
        <v>Farm</v>
      </c>
      <c r="C16" s="59" t="str">
        <f>IFERROR(__xludf.DUMMYFUNCTION("GOOGLETRANSLATE(A16,""cs"",""fr"")"),"Ferme")</f>
        <v>Ferme</v>
      </c>
      <c r="D16" s="59" t="str">
        <f>IFERROR(__xludf.DUMMYFUNCTION("GOOGLETRANSLATE(A16,""cs"",""uk"")"),"Ферма")</f>
        <v>Ферма</v>
      </c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</row>
    <row r="17">
      <c r="A17" s="60" t="s">
        <v>453</v>
      </c>
      <c r="B17" s="61" t="str">
        <f>IFERROR(__xludf.DUMMYFUNCTION("GOOGLETRANSLATE(A17,""cs"",""en"")"),"Chain tensioning")</f>
        <v>Chain tensioning</v>
      </c>
      <c r="C17" s="61" t="str">
        <f>IFERROR(__xludf.DUMMYFUNCTION("GOOGLETRANSLATE(A17,""cs"",""fr"")"),"tension de chaîne")</f>
        <v>tension de chaîne</v>
      </c>
      <c r="D17" s="61" t="str">
        <f>IFERROR(__xludf.DUMMYFUNCTION("GOOGLETRANSLATE(A17,""cs"",""uk"")"),"Натяг ланцюга")</f>
        <v>Натяг ланцюга</v>
      </c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</row>
    <row r="18">
      <c r="A18" s="58" t="s">
        <v>477</v>
      </c>
      <c r="B18" s="59" t="str">
        <f>IFERROR(__xludf.DUMMYFUNCTION("GOOGLETRANSLATE(A18,""cs"",""en"")"),"Folding side panel")</f>
        <v>Folding side panel</v>
      </c>
      <c r="C18" s="59" t="str">
        <f>IFERROR(__xludf.DUMMYFUNCTION("GOOGLETRANSLATE(A18,""cs"",""fr"")"),"panneau latéral rabattable")</f>
        <v>panneau latéral rabattable</v>
      </c>
      <c r="D18" s="59" t="str">
        <f>IFERROR(__xludf.DUMMYFUNCTION("GOOGLETRANSLATE(A18,""cs"",""uk"")"),"Складна бічна панель")</f>
        <v>Складна бічна панель</v>
      </c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</row>
    <row r="19">
      <c r="A19" s="60" t="s">
        <v>501</v>
      </c>
      <c r="B19" s="61" t="str">
        <f>IFERROR(__xludf.DUMMYFUNCTION("GOOGLETRANSLATE(A19,""cs"",""en"")"),"Folding hook tensioning")</f>
        <v>Folding hook tensioning</v>
      </c>
      <c r="C19" s="61" t="str">
        <f>IFERROR(__xludf.DUMMYFUNCTION("GOOGLETRANSLATE(A19,""cs"",""fr"")"),"tension du crochet pliable")</f>
        <v>tension du crochet pliable</v>
      </c>
      <c r="D19" s="61" t="str">
        <f>IFERROR(__xludf.DUMMYFUNCTION("GOOGLETRANSLATE(A19,""cs"",""uk"")"),"Натягування складного гачка")</f>
        <v>Натягування складного гачка</v>
      </c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</row>
    <row r="20">
      <c r="A20" s="58" t="s">
        <v>512</v>
      </c>
      <c r="B20" s="59" t="str">
        <f>IFERROR(__xludf.DUMMYFUNCTION("GOOGLETRANSLATE(A20,""cs"",""en"")"),"Folding step")</f>
        <v>Folding step</v>
      </c>
      <c r="C20" s="59" t="str">
        <f>IFERROR(__xludf.DUMMYFUNCTION("GOOGLETRANSLATE(A20,""cs"",""fr"")"),"Marche pliante")</f>
        <v>Marche pliante</v>
      </c>
      <c r="D20" s="59" t="str">
        <f>IFERROR(__xludf.DUMMYFUNCTION("GOOGLETRANSLATE(A20,""cs"",""uk"")"),"Складна сходинка")</f>
        <v>Складна сходинка</v>
      </c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</row>
    <row r="21">
      <c r="A21" s="60" t="s">
        <v>513</v>
      </c>
      <c r="B21" s="61" t="str">
        <f>IFERROR(__xludf.DUMMYFUNCTION("GOOGLETRANSLATE(A21,""cs"",""en"")"),"Bottom central closure")</f>
        <v>Bottom central closure</v>
      </c>
      <c r="C21" s="61" t="str">
        <f>IFERROR(__xludf.DUMMYFUNCTION("GOOGLETRANSLATE(A21,""cs"",""fr"")"),"fermeture centrale inférieure")</f>
        <v>fermeture centrale inférieure</v>
      </c>
      <c r="D21" s="61" t="str">
        <f>IFERROR(__xludf.DUMMYFUNCTION("GOOGLETRANSLATE(A21,""cs"",""uk"")"),"Нижня центральна застібка")</f>
        <v>Нижня центральна застібка</v>
      </c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</row>
    <row r="22">
      <c r="A22" s="58" t="s">
        <v>514</v>
      </c>
      <c r="B22" s="59" t="str">
        <f>IFERROR(__xludf.DUMMYFUNCTION("GOOGLETRANSLATE(A22,""cs"",""en"")"),"Roof")</f>
        <v>Roof</v>
      </c>
      <c r="C22" s="59" t="str">
        <f>IFERROR(__xludf.DUMMYFUNCTION("GOOGLETRANSLATE(A22,""cs"",""fr"")"),"Toit")</f>
        <v>Toit</v>
      </c>
      <c r="D22" s="59" t="str">
        <f>IFERROR(__xludf.DUMMYFUNCTION("GOOGLETRANSLATE(A22,""cs"",""uk"")"),"Дах")</f>
        <v>Дах</v>
      </c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</row>
    <row r="23">
      <c r="A23" s="60" t="s">
        <v>515</v>
      </c>
      <c r="B23" s="61" t="str">
        <f>IFERROR(__xludf.DUMMYFUNCTION("GOOGLETRANSLATE(A23,""cs"",""en"")"),"Tramec")</f>
        <v>Tramec</v>
      </c>
      <c r="C23" s="61" t="str">
        <f>IFERROR(__xludf.DUMMYFUNCTION("GOOGLETRANSLATE(A23,""cs"",""fr"")"),"Tramec")</f>
        <v>Tramec</v>
      </c>
      <c r="D23" s="61" t="str">
        <f>IFERROR(__xludf.DUMMYFUNCTION("GOOGLETRANSLATE(A23,""cs"",""uk"")"),"Трамец")</f>
        <v>Трамец</v>
      </c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</row>
    <row r="24">
      <c r="A24" s="58" t="s">
        <v>520</v>
      </c>
      <c r="B24" s="59" t="str">
        <f>IFERROR(__xludf.DUMMYFUNCTION("GOOGLETRANSLATE(A24,""cs"",""en"")"),"Pipe")</f>
        <v>Pipe</v>
      </c>
      <c r="C24" s="59" t="str">
        <f>IFERROR(__xludf.DUMMYFUNCTION("GOOGLETRANSLATE(A24,""cs"",""fr"")"),"Tuyau")</f>
        <v>Tuyau</v>
      </c>
      <c r="D24" s="59" t="str">
        <f>IFERROR(__xludf.DUMMYFUNCTION("GOOGLETRANSLATE(A24,""cs"",""uk"")"),"Труба")</f>
        <v>Труба</v>
      </c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</row>
    <row r="25">
      <c r="A25" s="60" t="s">
        <v>527</v>
      </c>
      <c r="B25" s="61" t="str">
        <f>IFERROR(__xludf.DUMMYFUNCTION("GOOGLETRANSLATE(A25,""cs"",""en"")"),"Tunnel stretching")</f>
        <v>Tunnel stretching</v>
      </c>
      <c r="C25" s="61" t="str">
        <f>IFERROR(__xludf.DUMMYFUNCTION("GOOGLETRANSLATE(A25,""cs"",""fr"")"),"étirement du tunnel")</f>
        <v>étirement du tunnel</v>
      </c>
      <c r="D25" s="61" t="str">
        <f>IFERROR(__xludf.DUMMYFUNCTION("GOOGLETRANSLATE(A25,""cs"",""uk"")"),"Розтягування тунелю")</f>
        <v>Розтягування тунелю</v>
      </c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</row>
    <row r="26">
      <c r="A26" s="58" t="s">
        <v>532</v>
      </c>
      <c r="B26" s="59" t="str">
        <f>IFERROR(__xludf.DUMMYFUNCTION("GOOGLETRANSLATE(A26,""cs"",""en"")"),"Gate")</f>
        <v>Gate</v>
      </c>
      <c r="C26" s="59" t="str">
        <f>IFERROR(__xludf.DUMMYFUNCTION("GOOGLETRANSLATE(A26,""cs"",""fr"")"),"Grille")</f>
        <v>Grille</v>
      </c>
      <c r="D26" s="59" t="str">
        <f>IFERROR(__xludf.DUMMYFUNCTION("GOOGLETRANSLATE(A26,""cs"",""uk"")"),"Ворота")</f>
        <v>Ворота</v>
      </c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</row>
    <row r="27">
      <c r="A27" s="60" t="s">
        <v>543</v>
      </c>
      <c r="B27" s="61" t="str">
        <f>IFERROR(__xludf.DUMMYFUNCTION("GOOGLETRANSLATE(A27,""cs"",""en"")"),"Reinforcement")</f>
        <v>Reinforcement</v>
      </c>
      <c r="C27" s="61" t="str">
        <f>IFERROR(__xludf.DUMMYFUNCTION("GOOGLETRANSLATE(A27,""cs"",""fr"")"),"Renforcement")</f>
        <v>Renforcement</v>
      </c>
      <c r="D27" s="61" t="str">
        <f>IFERROR(__xludf.DUMMYFUNCTION("GOOGLETRANSLATE(A27,""cs"",""uk"")"),"Армування")</f>
        <v>Армування</v>
      </c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</row>
    <row r="28">
      <c r="A28" s="58" t="s">
        <v>550</v>
      </c>
      <c r="B28" s="59" t="str">
        <f>IFERROR(__xludf.DUMMYFUNCTION("GOOGLETRANSLATE(A28,""cs"",""en"")"),"Closing")</f>
        <v>Closing</v>
      </c>
      <c r="C28" s="59" t="str">
        <f>IFERROR(__xludf.DUMMYFUNCTION("GOOGLETRANSLATE(A28,""cs"",""fr"")"),"Clôture")</f>
        <v>Clôture</v>
      </c>
      <c r="D28" s="59" t="str">
        <f>IFERROR(__xludf.DUMMYFUNCTION("GOOGLETRANSLATE(A28,""cs"",""uk"")"),"Закриття")</f>
        <v>Закриття</v>
      </c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</row>
    <row r="29">
      <c r="A29" s="60" t="s">
        <v>560</v>
      </c>
      <c r="B29" s="61" t="str">
        <f>IFERROR(__xludf.DUMMYFUNCTION("GOOGLETRANSLATE(A29,""cs"",""en"")"),"Rib")</f>
        <v>Rib</v>
      </c>
      <c r="C29" s="61" t="str">
        <f>IFERROR(__xludf.DUMMYFUNCTION("GOOGLETRANSLATE(A29,""cs"",""fr"")"),"Côte")</f>
        <v>Côte</v>
      </c>
      <c r="D29" s="61" t="str">
        <f>IFERROR(__xludf.DUMMYFUNCTION("GOOGLETRANSLATE(A29,""cs"",""uk"")"),"Ребро")</f>
        <v>Ребро</v>
      </c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</row>
    <row r="30">
      <c r="A30" s="58" t="s">
        <v>572</v>
      </c>
      <c r="B30" s="59" t="str">
        <f>IFERROR(__xludf.DUMMYFUNCTION("GOOGLETRANSLATE(A30,""cs"",""en"")"),"Ladder")</f>
        <v>Ladder</v>
      </c>
      <c r="C30" s="59" t="str">
        <f>IFERROR(__xludf.DUMMYFUNCTION("GOOGLETRANSLATE(A30,""cs"",""fr"")"),"Échelle")</f>
        <v>Échelle</v>
      </c>
      <c r="D30" s="59" t="str">
        <f>IFERROR(__xludf.DUMMYFUNCTION("GOOGLETRANSLATE(A30,""cs"",""uk"")"),"Драбина")</f>
        <v>Драбина</v>
      </c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</row>
    <row r="31">
      <c r="A31" s="61"/>
      <c r="B31" s="61" t="str">
        <f>IFERROR(__xludf.DUMMYFUNCTION("GOOGLETRANSLATE(A31,""cs"",""en"")"),"#VALUE!")</f>
        <v>#VALUE!</v>
      </c>
      <c r="C31" s="61" t="str">
        <f>IFERROR(__xludf.DUMMYFUNCTION("GOOGLETRANSLATE(A31,""cs"",""fr"")"),"#VALUE!")</f>
        <v>#VALUE!</v>
      </c>
      <c r="D31" s="61" t="str">
        <f>IFERROR(__xludf.DUMMYFUNCTION("GOOGLETRANSLATE(A31,""cs"",""uk"")"),"#VALUE!")</f>
        <v>#VALUE!</v>
      </c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</row>
    <row r="32">
      <c r="A32" s="59"/>
      <c r="B32" s="59" t="str">
        <f>IFERROR(__xludf.DUMMYFUNCTION("GOOGLETRANSLATE(A32,""cs"",""en"")"),"#VALUE!")</f>
        <v>#VALUE!</v>
      </c>
      <c r="C32" s="59" t="str">
        <f>IFERROR(__xludf.DUMMYFUNCTION("GOOGLETRANSLATE(A32,""cs"",""fr"")"),"#VALUE!")</f>
        <v>#VALUE!</v>
      </c>
      <c r="D32" s="59" t="str">
        <f>IFERROR(__xludf.DUMMYFUNCTION("GOOGLETRANSLATE(A32,""cs"",""uk"")"),"#VALUE!")</f>
        <v>#VALUE!</v>
      </c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</row>
    <row r="33">
      <c r="A33" s="61"/>
      <c r="B33" s="61" t="str">
        <f>IFERROR(__xludf.DUMMYFUNCTION("GOOGLETRANSLATE(A33,""cs"",""en"")"),"#VALUE!")</f>
        <v>#VALUE!</v>
      </c>
      <c r="C33" s="61" t="str">
        <f>IFERROR(__xludf.DUMMYFUNCTION("GOOGLETRANSLATE(A33,""cs"",""fr"")"),"#VALUE!")</f>
        <v>#VALUE!</v>
      </c>
      <c r="D33" s="61" t="str">
        <f>IFERROR(__xludf.DUMMYFUNCTION("GOOGLETRANSLATE(A33,""cs"",""uk"")"),"#VALUE!")</f>
        <v>#VALUE!</v>
      </c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</row>
    <row r="34">
      <c r="A34" s="59"/>
      <c r="B34" s="59" t="str">
        <f>IFERROR(__xludf.DUMMYFUNCTION("GOOGLETRANSLATE(A34,""cs"",""en"")"),"#VALUE!")</f>
        <v>#VALUE!</v>
      </c>
      <c r="C34" s="59" t="str">
        <f>IFERROR(__xludf.DUMMYFUNCTION("GOOGLETRANSLATE(A34,""cs"",""fr"")"),"#VALUE!")</f>
        <v>#VALUE!</v>
      </c>
      <c r="D34" s="59" t="str">
        <f>IFERROR(__xludf.DUMMYFUNCTION("GOOGLETRANSLATE(A34,""cs"",""uk"")"),"#VALUE!")</f>
        <v>#VALUE!</v>
      </c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</row>
    <row r="35">
      <c r="A35" s="61"/>
      <c r="B35" s="61" t="str">
        <f>IFERROR(__xludf.DUMMYFUNCTION("GOOGLETRANSLATE(A35,""cs"",""en"")"),"#VALUE!")</f>
        <v>#VALUE!</v>
      </c>
      <c r="C35" s="61" t="str">
        <f>IFERROR(__xludf.DUMMYFUNCTION("GOOGLETRANSLATE(A35,""cs"",""fr"")"),"#VALUE!")</f>
        <v>#VALUE!</v>
      </c>
      <c r="D35" s="61" t="str">
        <f>IFERROR(__xludf.DUMMYFUNCTION("GOOGLETRANSLATE(A35,""cs"",""uk"")"),"#VALUE!")</f>
        <v>#VALUE!</v>
      </c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</row>
    <row r="36">
      <c r="A36" s="59"/>
      <c r="B36" s="59" t="str">
        <f>IFERROR(__xludf.DUMMYFUNCTION("GOOGLETRANSLATE(A36,""cs"",""en"")"),"#VALUE!")</f>
        <v>#VALUE!</v>
      </c>
      <c r="C36" s="59" t="str">
        <f>IFERROR(__xludf.DUMMYFUNCTION("GOOGLETRANSLATE(A36,""cs"",""fr"")"),"#VALUE!")</f>
        <v>#VALUE!</v>
      </c>
      <c r="D36" s="59" t="str">
        <f>IFERROR(__xludf.DUMMYFUNCTION("GOOGLETRANSLATE(A36,""cs"",""uk"")"),"#VALUE!")</f>
        <v>#VALUE!</v>
      </c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</row>
    <row r="37">
      <c r="A37" s="61"/>
      <c r="B37" s="61" t="str">
        <f>IFERROR(__xludf.DUMMYFUNCTION("GOOGLETRANSLATE(A37,""cs"",""en"")"),"#VALUE!")</f>
        <v>#VALUE!</v>
      </c>
      <c r="C37" s="61" t="str">
        <f>IFERROR(__xludf.DUMMYFUNCTION("GOOGLETRANSLATE(A37,""cs"",""fr"")"),"#VALUE!")</f>
        <v>#VALUE!</v>
      </c>
      <c r="D37" s="61" t="str">
        <f>IFERROR(__xludf.DUMMYFUNCTION("GOOGLETRANSLATE(A37,""cs"",""uk"")"),"#VALUE!")</f>
        <v>#VALUE!</v>
      </c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</row>
    <row r="38">
      <c r="A38" s="59"/>
      <c r="B38" s="59" t="str">
        <f>IFERROR(__xludf.DUMMYFUNCTION("GOOGLETRANSLATE(A38,""cs"",""en"")"),"#VALUE!")</f>
        <v>#VALUE!</v>
      </c>
      <c r="C38" s="59" t="str">
        <f>IFERROR(__xludf.DUMMYFUNCTION("GOOGLETRANSLATE(A38,""cs"",""fr"")"),"#VALUE!")</f>
        <v>#VALUE!</v>
      </c>
      <c r="D38" s="59" t="str">
        <f>IFERROR(__xludf.DUMMYFUNCTION("GOOGLETRANSLATE(A38,""cs"",""uk"")"),"#VALUE!")</f>
        <v>#VALUE!</v>
      </c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</row>
    <row r="39">
      <c r="A39" s="61"/>
      <c r="B39" s="61" t="str">
        <f>IFERROR(__xludf.DUMMYFUNCTION("GOOGLETRANSLATE(A39,""cs"",""en"")"),"#VALUE!")</f>
        <v>#VALUE!</v>
      </c>
      <c r="C39" s="61" t="str">
        <f>IFERROR(__xludf.DUMMYFUNCTION("GOOGLETRANSLATE(A39,""cs"",""fr"")"),"#VALUE!")</f>
        <v>#VALUE!</v>
      </c>
      <c r="D39" s="61" t="str">
        <f>IFERROR(__xludf.DUMMYFUNCTION("GOOGLETRANSLATE(A39,""cs"",""uk"")"),"#VALUE!")</f>
        <v>#VALUE!</v>
      </c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</row>
    <row r="40">
      <c r="A40" s="59"/>
      <c r="B40" s="59" t="str">
        <f>IFERROR(__xludf.DUMMYFUNCTION("GOOGLETRANSLATE(A40,""cs"",""en"")"),"#VALUE!")</f>
        <v>#VALUE!</v>
      </c>
      <c r="C40" s="59" t="str">
        <f>IFERROR(__xludf.DUMMYFUNCTION("GOOGLETRANSLATE(A40,""cs"",""fr"")"),"#VALUE!")</f>
        <v>#VALUE!</v>
      </c>
      <c r="D40" s="59" t="str">
        <f>IFERROR(__xludf.DUMMYFUNCTION("GOOGLETRANSLATE(A40,""cs"",""uk"")"),"#VALUE!")</f>
        <v>#VALUE!</v>
      </c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</row>
    <row r="41">
      <c r="A41" s="61"/>
      <c r="B41" s="61" t="str">
        <f>IFERROR(__xludf.DUMMYFUNCTION("GOOGLETRANSLATE(A41,""cs"",""en"")"),"#VALUE!")</f>
        <v>#VALUE!</v>
      </c>
      <c r="C41" s="61" t="str">
        <f>IFERROR(__xludf.DUMMYFUNCTION("GOOGLETRANSLATE(A41,""cs"",""fr"")"),"#VALUE!")</f>
        <v>#VALUE!</v>
      </c>
      <c r="D41" s="61" t="str">
        <f>IFERROR(__xludf.DUMMYFUNCTION("GOOGLETRANSLATE(A41,""cs"",""uk"")"),"#VALUE!")</f>
        <v>#VALUE!</v>
      </c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</row>
    <row r="42">
      <c r="A42" s="59"/>
      <c r="B42" s="59" t="str">
        <f>IFERROR(__xludf.DUMMYFUNCTION("GOOGLETRANSLATE(A42,""cs"",""en"")"),"#VALUE!")</f>
        <v>#VALUE!</v>
      </c>
      <c r="C42" s="59" t="str">
        <f>IFERROR(__xludf.DUMMYFUNCTION("GOOGLETRANSLATE(A42,""cs"",""fr"")"),"#VALUE!")</f>
        <v>#VALUE!</v>
      </c>
      <c r="D42" s="59" t="str">
        <f>IFERROR(__xludf.DUMMYFUNCTION("GOOGLETRANSLATE(A42,""cs"",""uk"")"),"#VALUE!")</f>
        <v>#VALUE!</v>
      </c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</row>
    <row r="43">
      <c r="A43" s="61"/>
      <c r="B43" s="61" t="str">
        <f>IFERROR(__xludf.DUMMYFUNCTION("GOOGLETRANSLATE(A43,""cs"",""en"")"),"#VALUE!")</f>
        <v>#VALUE!</v>
      </c>
      <c r="C43" s="61" t="str">
        <f>IFERROR(__xludf.DUMMYFUNCTION("GOOGLETRANSLATE(A43,""cs"",""fr"")"),"#VALUE!")</f>
        <v>#VALUE!</v>
      </c>
      <c r="D43" s="61" t="str">
        <f>IFERROR(__xludf.DUMMYFUNCTION("GOOGLETRANSLATE(A43,""cs"",""uk"")"),"#VALUE!")</f>
        <v>#VALUE!</v>
      </c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</row>
    <row r="44">
      <c r="A44" s="59"/>
      <c r="B44" s="59" t="str">
        <f>IFERROR(__xludf.DUMMYFUNCTION("GOOGLETRANSLATE(A44,""cs"",""en"")"),"#VALUE!")</f>
        <v>#VALUE!</v>
      </c>
      <c r="C44" s="59" t="str">
        <f>IFERROR(__xludf.DUMMYFUNCTION("GOOGLETRANSLATE(A44,""cs"",""fr"")"),"#VALUE!")</f>
        <v>#VALUE!</v>
      </c>
      <c r="D44" s="59" t="str">
        <f>IFERROR(__xludf.DUMMYFUNCTION("GOOGLETRANSLATE(A44,""cs"",""uk"")"),"#VALUE!")</f>
        <v>#VALUE!</v>
      </c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</row>
    <row r="45">
      <c r="A45" s="61"/>
      <c r="B45" s="61" t="str">
        <f>IFERROR(__xludf.DUMMYFUNCTION("GOOGLETRANSLATE(A45,""cs"",""en"")"),"#VALUE!")</f>
        <v>#VALUE!</v>
      </c>
      <c r="C45" s="61" t="str">
        <f>IFERROR(__xludf.DUMMYFUNCTION("GOOGLETRANSLATE(A45,""cs"",""fr"")"),"#VALUE!")</f>
        <v>#VALUE!</v>
      </c>
      <c r="D45" s="61" t="str">
        <f>IFERROR(__xludf.DUMMYFUNCTION("GOOGLETRANSLATE(A45,""cs"",""uk"")"),"#VALUE!")</f>
        <v>#VALUE!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</row>
    <row r="46">
      <c r="A46" s="59"/>
      <c r="B46" s="59" t="str">
        <f>IFERROR(__xludf.DUMMYFUNCTION("GOOGLETRANSLATE(A46,""cs"",""en"")"),"#VALUE!")</f>
        <v>#VALUE!</v>
      </c>
      <c r="C46" s="59" t="str">
        <f>IFERROR(__xludf.DUMMYFUNCTION("GOOGLETRANSLATE(A46,""cs"",""fr"")"),"#VALUE!")</f>
        <v>#VALUE!</v>
      </c>
      <c r="D46" s="59" t="str">
        <f>IFERROR(__xludf.DUMMYFUNCTION("GOOGLETRANSLATE(A46,""cs"",""uk"")"),"#VALUE!")</f>
        <v>#VALUE!</v>
      </c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</row>
    <row r="47">
      <c r="A47" s="61"/>
      <c r="B47" s="61" t="str">
        <f>IFERROR(__xludf.DUMMYFUNCTION("GOOGLETRANSLATE(A47,""cs"",""en"")"),"#VALUE!")</f>
        <v>#VALUE!</v>
      </c>
      <c r="C47" s="61" t="str">
        <f>IFERROR(__xludf.DUMMYFUNCTION("GOOGLETRANSLATE(A47,""cs"",""fr"")"),"#VALUE!")</f>
        <v>#VALUE!</v>
      </c>
      <c r="D47" s="61" t="str">
        <f>IFERROR(__xludf.DUMMYFUNCTION("GOOGLETRANSLATE(A47,""cs"",""uk"")"),"#VALUE!")</f>
        <v>#VALUE!</v>
      </c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</row>
    <row r="48">
      <c r="A48" s="59"/>
      <c r="B48" s="59" t="str">
        <f>IFERROR(__xludf.DUMMYFUNCTION("GOOGLETRANSLATE(A48,""cs"",""en"")"),"#VALUE!")</f>
        <v>#VALUE!</v>
      </c>
      <c r="C48" s="59" t="str">
        <f>IFERROR(__xludf.DUMMYFUNCTION("GOOGLETRANSLATE(A48,""cs"",""fr"")"),"#VALUE!")</f>
        <v>#VALUE!</v>
      </c>
      <c r="D48" s="59" t="str">
        <f>IFERROR(__xludf.DUMMYFUNCTION("GOOGLETRANSLATE(A48,""cs"",""uk"")"),"#VALUE!")</f>
        <v>#VALUE!</v>
      </c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</row>
    <row r="49">
      <c r="A49" s="61"/>
      <c r="B49" s="61" t="str">
        <f>IFERROR(__xludf.DUMMYFUNCTION("GOOGLETRANSLATE(A49,""cs"",""en"")"),"#VALUE!")</f>
        <v>#VALUE!</v>
      </c>
      <c r="C49" s="61" t="str">
        <f>IFERROR(__xludf.DUMMYFUNCTION("GOOGLETRANSLATE(A49,""cs"",""fr"")"),"#VALUE!")</f>
        <v>#VALUE!</v>
      </c>
      <c r="D49" s="61" t="str">
        <f>IFERROR(__xludf.DUMMYFUNCTION("GOOGLETRANSLATE(A49,""cs"",""uk"")"),"#VALUE!")</f>
        <v>#VALUE!</v>
      </c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</row>
    <row r="50">
      <c r="A50" s="59"/>
      <c r="B50" s="59" t="str">
        <f>IFERROR(__xludf.DUMMYFUNCTION("GOOGLETRANSLATE(A50,""cs"",""en"")"),"#VALUE!")</f>
        <v>#VALUE!</v>
      </c>
      <c r="C50" s="59" t="str">
        <f>IFERROR(__xludf.DUMMYFUNCTION("GOOGLETRANSLATE(A50,""cs"",""fr"")"),"#VALUE!")</f>
        <v>#VALUE!</v>
      </c>
      <c r="D50" s="59" t="str">
        <f>IFERROR(__xludf.DUMMYFUNCTION("GOOGLETRANSLATE(A50,""cs"",""uk"")"),"#VALUE!")</f>
        <v>#VALUE!</v>
      </c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</row>
    <row r="51">
      <c r="A51" s="61"/>
      <c r="B51" s="61" t="str">
        <f>IFERROR(__xludf.DUMMYFUNCTION("GOOGLETRANSLATE(A51,""cs"",""en"")"),"#VALUE!")</f>
        <v>#VALUE!</v>
      </c>
      <c r="C51" s="61" t="str">
        <f>IFERROR(__xludf.DUMMYFUNCTION("GOOGLETRANSLATE(A51,""cs"",""fr"")"),"#VALUE!")</f>
        <v>#VALUE!</v>
      </c>
      <c r="D51" s="61" t="str">
        <f>IFERROR(__xludf.DUMMYFUNCTION("GOOGLETRANSLATE(A51,""cs"",""uk"")"),"#VALUE!")</f>
        <v>#VALUE!</v>
      </c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</row>
    <row r="52">
      <c r="A52" s="59"/>
      <c r="B52" s="59" t="str">
        <f>IFERROR(__xludf.DUMMYFUNCTION("GOOGLETRANSLATE(A52,""cs"",""en"")"),"#VALUE!")</f>
        <v>#VALUE!</v>
      </c>
      <c r="C52" s="59" t="str">
        <f>IFERROR(__xludf.DUMMYFUNCTION("GOOGLETRANSLATE(A52,""cs"",""fr"")"),"#VALUE!")</f>
        <v>#VALUE!</v>
      </c>
      <c r="D52" s="59" t="str">
        <f>IFERROR(__xludf.DUMMYFUNCTION("GOOGLETRANSLATE(A52,""cs"",""uk"")"),"#VALUE!")</f>
        <v>#VALUE!</v>
      </c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</row>
    <row r="53">
      <c r="A53" s="61"/>
      <c r="B53" s="61" t="str">
        <f>IFERROR(__xludf.DUMMYFUNCTION("GOOGLETRANSLATE(A53,""cs"",""en"")"),"#VALUE!")</f>
        <v>#VALUE!</v>
      </c>
      <c r="C53" s="61" t="str">
        <f>IFERROR(__xludf.DUMMYFUNCTION("GOOGLETRANSLATE(A53,""cs"",""fr"")"),"#VALUE!")</f>
        <v>#VALUE!</v>
      </c>
      <c r="D53" s="61" t="str">
        <f>IFERROR(__xludf.DUMMYFUNCTION("GOOGLETRANSLATE(A53,""cs"",""uk"")"),"#VALUE!")</f>
        <v>#VALUE!</v>
      </c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</row>
    <row r="54">
      <c r="A54" s="59"/>
      <c r="B54" s="59" t="str">
        <f>IFERROR(__xludf.DUMMYFUNCTION("GOOGLETRANSLATE(A54,""cs"",""en"")"),"#VALUE!")</f>
        <v>#VALUE!</v>
      </c>
      <c r="C54" s="59" t="str">
        <f>IFERROR(__xludf.DUMMYFUNCTION("GOOGLETRANSLATE(A54,""cs"",""fr"")"),"#VALUE!")</f>
        <v>#VALUE!</v>
      </c>
      <c r="D54" s="59" t="str">
        <f>IFERROR(__xludf.DUMMYFUNCTION("GOOGLETRANSLATE(A54,""cs"",""uk"")"),"#VALUE!")</f>
        <v>#VALUE!</v>
      </c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</row>
    <row r="55">
      <c r="A55" s="61"/>
      <c r="B55" s="61" t="str">
        <f>IFERROR(__xludf.DUMMYFUNCTION("GOOGLETRANSLATE(A55,""cs"",""en"")"),"#VALUE!")</f>
        <v>#VALUE!</v>
      </c>
      <c r="C55" s="61" t="str">
        <f>IFERROR(__xludf.DUMMYFUNCTION("GOOGLETRANSLATE(A55,""cs"",""fr"")"),"#VALUE!")</f>
        <v>#VALUE!</v>
      </c>
      <c r="D55" s="61" t="str">
        <f>IFERROR(__xludf.DUMMYFUNCTION("GOOGLETRANSLATE(A55,""cs"",""uk"")"),"#VALUE!")</f>
        <v>#VALUE!</v>
      </c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>
      <c r="A56" s="59"/>
      <c r="B56" s="59" t="str">
        <f>IFERROR(__xludf.DUMMYFUNCTION("GOOGLETRANSLATE(A56,""cs"",""en"")"),"#VALUE!")</f>
        <v>#VALUE!</v>
      </c>
      <c r="C56" s="59" t="str">
        <f>IFERROR(__xludf.DUMMYFUNCTION("GOOGLETRANSLATE(A56,""cs"",""fr"")"),"#VALUE!")</f>
        <v>#VALUE!</v>
      </c>
      <c r="D56" s="59" t="str">
        <f>IFERROR(__xludf.DUMMYFUNCTION("GOOGLETRANSLATE(A56,""cs"",""uk"")"),"#VALUE!")</f>
        <v>#VALUE!</v>
      </c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</row>
    <row r="57">
      <c r="A57" s="61"/>
      <c r="B57" s="61" t="str">
        <f>IFERROR(__xludf.DUMMYFUNCTION("GOOGLETRANSLATE(A57,""cs"",""en"")"),"#VALUE!")</f>
        <v>#VALUE!</v>
      </c>
      <c r="C57" s="61" t="str">
        <f>IFERROR(__xludf.DUMMYFUNCTION("GOOGLETRANSLATE(A57,""cs"",""fr"")"),"#VALUE!")</f>
        <v>#VALUE!</v>
      </c>
      <c r="D57" s="61" t="str">
        <f>IFERROR(__xludf.DUMMYFUNCTION("GOOGLETRANSLATE(A57,""cs"",""uk"")"),"#VALUE!")</f>
        <v>#VALUE!</v>
      </c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</row>
    <row r="58">
      <c r="A58" s="59"/>
      <c r="B58" s="59" t="str">
        <f>IFERROR(__xludf.DUMMYFUNCTION("GOOGLETRANSLATE(A58,""cs"",""en"")"),"#VALUE!")</f>
        <v>#VALUE!</v>
      </c>
      <c r="C58" s="59" t="str">
        <f>IFERROR(__xludf.DUMMYFUNCTION("GOOGLETRANSLATE(A58,""cs"",""fr"")"),"#VALUE!")</f>
        <v>#VALUE!</v>
      </c>
      <c r="D58" s="59" t="str">
        <f>IFERROR(__xludf.DUMMYFUNCTION("GOOGLETRANSLATE(A58,""cs"",""uk"")"),"#VALUE!")</f>
        <v>#VALUE!</v>
      </c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</row>
    <row r="59">
      <c r="A59" s="61"/>
      <c r="B59" s="61" t="str">
        <f>IFERROR(__xludf.DUMMYFUNCTION("GOOGLETRANSLATE(A59,""cs"",""en"")"),"#VALUE!")</f>
        <v>#VALUE!</v>
      </c>
      <c r="C59" s="61" t="str">
        <f>IFERROR(__xludf.DUMMYFUNCTION("GOOGLETRANSLATE(A59,""cs"",""fr"")"),"#VALUE!")</f>
        <v>#VALUE!</v>
      </c>
      <c r="D59" s="61" t="str">
        <f>IFERROR(__xludf.DUMMYFUNCTION("GOOGLETRANSLATE(A59,""cs"",""uk"")"),"#VALUE!")</f>
        <v>#VALUE!</v>
      </c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</row>
    <row r="60">
      <c r="A60" s="59"/>
      <c r="B60" s="59" t="str">
        <f>IFERROR(__xludf.DUMMYFUNCTION("GOOGLETRANSLATE(A60,""cs"",""en"")"),"#VALUE!")</f>
        <v>#VALUE!</v>
      </c>
      <c r="C60" s="59" t="str">
        <f>IFERROR(__xludf.DUMMYFUNCTION("GOOGLETRANSLATE(A60,""cs"",""fr"")"),"#VALUE!")</f>
        <v>#VALUE!</v>
      </c>
      <c r="D60" s="59" t="str">
        <f>IFERROR(__xludf.DUMMYFUNCTION("GOOGLETRANSLATE(A60,""cs"",""uk"")"),"#VALUE!")</f>
        <v>#VALUE!</v>
      </c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</row>
    <row r="61">
      <c r="A61" s="61"/>
      <c r="B61" s="61" t="str">
        <f>IFERROR(__xludf.DUMMYFUNCTION("GOOGLETRANSLATE(A61,""cs"",""en"")"),"#VALUE!")</f>
        <v>#VALUE!</v>
      </c>
      <c r="C61" s="61" t="str">
        <f>IFERROR(__xludf.DUMMYFUNCTION("GOOGLETRANSLATE(A61,""cs"",""fr"")"),"#VALUE!")</f>
        <v>#VALUE!</v>
      </c>
      <c r="D61" s="61" t="str">
        <f>IFERROR(__xludf.DUMMYFUNCTION("GOOGLETRANSLATE(A61,""cs"",""uk"")"),"#VALUE!")</f>
        <v>#VALUE!</v>
      </c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</row>
    <row r="62">
      <c r="A62" s="59"/>
      <c r="B62" s="59" t="str">
        <f>IFERROR(__xludf.DUMMYFUNCTION("GOOGLETRANSLATE(A62,""cs"",""en"")"),"#VALUE!")</f>
        <v>#VALUE!</v>
      </c>
      <c r="C62" s="59" t="str">
        <f>IFERROR(__xludf.DUMMYFUNCTION("GOOGLETRANSLATE(A62,""cs"",""fr"")"),"#VALUE!")</f>
        <v>#VALUE!</v>
      </c>
      <c r="D62" s="59" t="str">
        <f>IFERROR(__xludf.DUMMYFUNCTION("GOOGLETRANSLATE(A62,""cs"",""uk"")"),"#VALUE!")</f>
        <v>#VALUE!</v>
      </c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</row>
    <row r="63">
      <c r="A63" s="61"/>
      <c r="B63" s="61" t="str">
        <f>IFERROR(__xludf.DUMMYFUNCTION("GOOGLETRANSLATE(A63,""cs"",""en"")"),"#VALUE!")</f>
        <v>#VALUE!</v>
      </c>
      <c r="C63" s="61" t="str">
        <f>IFERROR(__xludf.DUMMYFUNCTION("GOOGLETRANSLATE(A63,""cs"",""fr"")"),"#VALUE!")</f>
        <v>#VALUE!</v>
      </c>
      <c r="D63" s="61" t="str">
        <f>IFERROR(__xludf.DUMMYFUNCTION("GOOGLETRANSLATE(A63,""cs"",""uk"")"),"#VALUE!")</f>
        <v>#VALUE!</v>
      </c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</row>
    <row r="64">
      <c r="A64" s="59"/>
      <c r="B64" s="59" t="str">
        <f>IFERROR(__xludf.DUMMYFUNCTION("GOOGLETRANSLATE(A64,""cs"",""en"")"),"#VALUE!")</f>
        <v>#VALUE!</v>
      </c>
      <c r="C64" s="59" t="str">
        <f>IFERROR(__xludf.DUMMYFUNCTION("GOOGLETRANSLATE(A64,""cs"",""fr"")"),"#VALUE!")</f>
        <v>#VALUE!</v>
      </c>
      <c r="D64" s="59" t="str">
        <f>IFERROR(__xludf.DUMMYFUNCTION("GOOGLETRANSLATE(A64,""cs"",""uk"")"),"#VALUE!")</f>
        <v>#VALUE!</v>
      </c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</row>
    <row r="65">
      <c r="A65" s="61"/>
      <c r="B65" s="61" t="str">
        <f>IFERROR(__xludf.DUMMYFUNCTION("GOOGLETRANSLATE(A65,""cs"",""en"")"),"#VALUE!")</f>
        <v>#VALUE!</v>
      </c>
      <c r="C65" s="61" t="str">
        <f>IFERROR(__xludf.DUMMYFUNCTION("GOOGLETRANSLATE(A65,""cs"",""fr"")"),"#VALUE!")</f>
        <v>#VALUE!</v>
      </c>
      <c r="D65" s="61" t="str">
        <f>IFERROR(__xludf.DUMMYFUNCTION("GOOGLETRANSLATE(A65,""cs"",""uk"")"),"#VALUE!")</f>
        <v>#VALUE!</v>
      </c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</row>
    <row r="66">
      <c r="A66" s="59"/>
      <c r="B66" s="59" t="str">
        <f>IFERROR(__xludf.DUMMYFUNCTION("GOOGLETRANSLATE(A66,""cs"",""en"")"),"#VALUE!")</f>
        <v>#VALUE!</v>
      </c>
      <c r="C66" s="59" t="str">
        <f>IFERROR(__xludf.DUMMYFUNCTION("GOOGLETRANSLATE(A66,""cs"",""fr"")"),"#VALUE!")</f>
        <v>#VALUE!</v>
      </c>
      <c r="D66" s="59" t="str">
        <f>IFERROR(__xludf.DUMMYFUNCTION("GOOGLETRANSLATE(A66,""cs"",""uk"")"),"#VALUE!")</f>
        <v>#VALUE!</v>
      </c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</row>
    <row r="67">
      <c r="A67" s="61"/>
      <c r="B67" s="61" t="str">
        <f>IFERROR(__xludf.DUMMYFUNCTION("GOOGLETRANSLATE(A67,""cs"",""en"")"),"#VALUE!")</f>
        <v>#VALUE!</v>
      </c>
      <c r="C67" s="61" t="str">
        <f>IFERROR(__xludf.DUMMYFUNCTION("GOOGLETRANSLATE(A67,""cs"",""fr"")"),"#VALUE!")</f>
        <v>#VALUE!</v>
      </c>
      <c r="D67" s="61" t="str">
        <f>IFERROR(__xludf.DUMMYFUNCTION("GOOGLETRANSLATE(A67,""cs"",""uk"")"),"#VALUE!")</f>
        <v>#VALUE!</v>
      </c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</row>
    <row r="68">
      <c r="A68" s="59"/>
      <c r="B68" s="59" t="str">
        <f>IFERROR(__xludf.DUMMYFUNCTION("GOOGLETRANSLATE(A68,""cs"",""en"")"),"#VALUE!")</f>
        <v>#VALUE!</v>
      </c>
      <c r="C68" s="59" t="str">
        <f>IFERROR(__xludf.DUMMYFUNCTION("GOOGLETRANSLATE(A68,""cs"",""fr"")"),"#VALUE!")</f>
        <v>#VALUE!</v>
      </c>
      <c r="D68" s="59" t="str">
        <f>IFERROR(__xludf.DUMMYFUNCTION("GOOGLETRANSLATE(A68,""cs"",""uk"")"),"#VALUE!")</f>
        <v>#VALUE!</v>
      </c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>
      <c r="A69" s="61"/>
      <c r="B69" s="61" t="str">
        <f>IFERROR(__xludf.DUMMYFUNCTION("GOOGLETRANSLATE(A69,""cs"",""en"")"),"#VALUE!")</f>
        <v>#VALUE!</v>
      </c>
      <c r="C69" s="61" t="str">
        <f>IFERROR(__xludf.DUMMYFUNCTION("GOOGLETRANSLATE(A69,""cs"",""fr"")"),"#VALUE!")</f>
        <v>#VALUE!</v>
      </c>
      <c r="D69" s="61" t="str">
        <f>IFERROR(__xludf.DUMMYFUNCTION("GOOGLETRANSLATE(A69,""cs"",""uk"")"),"#VALUE!")</f>
        <v>#VALUE!</v>
      </c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</row>
    <row r="70">
      <c r="A70" s="59"/>
      <c r="B70" s="59" t="str">
        <f>IFERROR(__xludf.DUMMYFUNCTION("GOOGLETRANSLATE(A70,""cs"",""en"")"),"#VALUE!")</f>
        <v>#VALUE!</v>
      </c>
      <c r="C70" s="59" t="str">
        <f>IFERROR(__xludf.DUMMYFUNCTION("GOOGLETRANSLATE(A70,""cs"",""fr"")"),"#VALUE!")</f>
        <v>#VALUE!</v>
      </c>
      <c r="D70" s="59" t="str">
        <f>IFERROR(__xludf.DUMMYFUNCTION("GOOGLETRANSLATE(A70,""cs"",""uk"")"),"#VALUE!")</f>
        <v>#VALUE!</v>
      </c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>
      <c r="A71" s="61"/>
      <c r="B71" s="61" t="str">
        <f>IFERROR(__xludf.DUMMYFUNCTION("GOOGLETRANSLATE(A71,""cs"",""en"")"),"#VALUE!")</f>
        <v>#VALUE!</v>
      </c>
      <c r="C71" s="61" t="str">
        <f>IFERROR(__xludf.DUMMYFUNCTION("GOOGLETRANSLATE(A71,""cs"",""fr"")"),"#VALUE!")</f>
        <v>#VALUE!</v>
      </c>
      <c r="D71" s="61" t="str">
        <f>IFERROR(__xludf.DUMMYFUNCTION("GOOGLETRANSLATE(A71,""cs"",""uk"")"),"#VALUE!")</f>
        <v>#VALUE!</v>
      </c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</row>
    <row r="72">
      <c r="A72" s="59"/>
      <c r="B72" s="59" t="str">
        <f>IFERROR(__xludf.DUMMYFUNCTION("GOOGLETRANSLATE(A72,""cs"",""en"")"),"#VALUE!")</f>
        <v>#VALUE!</v>
      </c>
      <c r="C72" s="59" t="str">
        <f>IFERROR(__xludf.DUMMYFUNCTION("GOOGLETRANSLATE(A72,""cs"",""fr"")"),"#VALUE!")</f>
        <v>#VALUE!</v>
      </c>
      <c r="D72" s="59" t="str">
        <f>IFERROR(__xludf.DUMMYFUNCTION("GOOGLETRANSLATE(A72,""cs"",""uk"")"),"#VALUE!")</f>
        <v>#VALUE!</v>
      </c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</row>
    <row r="73">
      <c r="A73" s="61"/>
      <c r="B73" s="61" t="str">
        <f>IFERROR(__xludf.DUMMYFUNCTION("GOOGLETRANSLATE(A73,""cs"",""en"")"),"#VALUE!")</f>
        <v>#VALUE!</v>
      </c>
      <c r="C73" s="61" t="str">
        <f>IFERROR(__xludf.DUMMYFUNCTION("GOOGLETRANSLATE(A73,""cs"",""fr"")"),"#VALUE!")</f>
        <v>#VALUE!</v>
      </c>
      <c r="D73" s="61" t="str">
        <f>IFERROR(__xludf.DUMMYFUNCTION("GOOGLETRANSLATE(A73,""cs"",""uk"")"),"#VALUE!")</f>
        <v>#VALUE!</v>
      </c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</row>
    <row r="74">
      <c r="A74" s="59"/>
      <c r="B74" s="59" t="str">
        <f>IFERROR(__xludf.DUMMYFUNCTION("GOOGLETRANSLATE(A74,""cs"",""en"")"),"#VALUE!")</f>
        <v>#VALUE!</v>
      </c>
      <c r="C74" s="59" t="str">
        <f>IFERROR(__xludf.DUMMYFUNCTION("GOOGLETRANSLATE(A74,""cs"",""fr"")"),"#VALUE!")</f>
        <v>#VALUE!</v>
      </c>
      <c r="D74" s="59" t="str">
        <f>IFERROR(__xludf.DUMMYFUNCTION("GOOGLETRANSLATE(A74,""cs"",""uk"")"),"#VALUE!")</f>
        <v>#VALUE!</v>
      </c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</row>
    <row r="75">
      <c r="A75" s="61"/>
      <c r="B75" s="61" t="str">
        <f>IFERROR(__xludf.DUMMYFUNCTION("GOOGLETRANSLATE(A75,""cs"",""en"")"),"#VALUE!")</f>
        <v>#VALUE!</v>
      </c>
      <c r="C75" s="61" t="str">
        <f>IFERROR(__xludf.DUMMYFUNCTION("GOOGLETRANSLATE(A75,""cs"",""fr"")"),"#VALUE!")</f>
        <v>#VALUE!</v>
      </c>
      <c r="D75" s="61" t="str">
        <f>IFERROR(__xludf.DUMMYFUNCTION("GOOGLETRANSLATE(A75,""cs"",""uk"")"),"#VALUE!")</f>
        <v>#VALUE!</v>
      </c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</row>
    <row r="76">
      <c r="A76" s="59"/>
      <c r="B76" s="59" t="str">
        <f>IFERROR(__xludf.DUMMYFUNCTION("GOOGLETRANSLATE(A76,""cs"",""en"")"),"#VALUE!")</f>
        <v>#VALUE!</v>
      </c>
      <c r="C76" s="59" t="str">
        <f>IFERROR(__xludf.DUMMYFUNCTION("GOOGLETRANSLATE(A76,""cs"",""fr"")"),"#VALUE!")</f>
        <v>#VALUE!</v>
      </c>
      <c r="D76" s="59" t="str">
        <f>IFERROR(__xludf.DUMMYFUNCTION("GOOGLETRANSLATE(A76,""cs"",""uk"")"),"#VALUE!")</f>
        <v>#VALUE!</v>
      </c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</row>
    <row r="77">
      <c r="A77" s="61"/>
      <c r="B77" s="61" t="str">
        <f>IFERROR(__xludf.DUMMYFUNCTION("GOOGLETRANSLATE(A77,""cs"",""en"")"),"#VALUE!")</f>
        <v>#VALUE!</v>
      </c>
      <c r="C77" s="61" t="str">
        <f>IFERROR(__xludf.DUMMYFUNCTION("GOOGLETRANSLATE(A77,""cs"",""fr"")"),"#VALUE!")</f>
        <v>#VALUE!</v>
      </c>
      <c r="D77" s="61" t="str">
        <f>IFERROR(__xludf.DUMMYFUNCTION("GOOGLETRANSLATE(A77,""cs"",""uk"")"),"#VALUE!")</f>
        <v>#VALUE!</v>
      </c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</row>
    <row r="78">
      <c r="A78" s="59"/>
      <c r="B78" s="59" t="str">
        <f>IFERROR(__xludf.DUMMYFUNCTION("GOOGLETRANSLATE(A78,""cs"",""en"")"),"#VALUE!")</f>
        <v>#VALUE!</v>
      </c>
      <c r="C78" s="59" t="str">
        <f>IFERROR(__xludf.DUMMYFUNCTION("GOOGLETRANSLATE(A78,""cs"",""fr"")"),"#VALUE!")</f>
        <v>#VALUE!</v>
      </c>
      <c r="D78" s="59" t="str">
        <f>IFERROR(__xludf.DUMMYFUNCTION("GOOGLETRANSLATE(A78,""cs"",""uk"")"),"#VALUE!")</f>
        <v>#VALUE!</v>
      </c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</row>
    <row r="79">
      <c r="A79" s="61"/>
      <c r="B79" s="61" t="str">
        <f>IFERROR(__xludf.DUMMYFUNCTION("GOOGLETRANSLATE(A79,""cs"",""en"")"),"#VALUE!")</f>
        <v>#VALUE!</v>
      </c>
      <c r="C79" s="61" t="str">
        <f>IFERROR(__xludf.DUMMYFUNCTION("GOOGLETRANSLATE(A79,""cs"",""fr"")"),"#VALUE!")</f>
        <v>#VALUE!</v>
      </c>
      <c r="D79" s="61" t="str">
        <f>IFERROR(__xludf.DUMMYFUNCTION("GOOGLETRANSLATE(A79,""cs"",""uk"")"),"#VALUE!")</f>
        <v>#VALUE!</v>
      </c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</row>
    <row r="80">
      <c r="A80" s="59"/>
      <c r="B80" s="59" t="str">
        <f>IFERROR(__xludf.DUMMYFUNCTION("GOOGLETRANSLATE(A80,""cs"",""en"")"),"#VALUE!")</f>
        <v>#VALUE!</v>
      </c>
      <c r="C80" s="59" t="str">
        <f>IFERROR(__xludf.DUMMYFUNCTION("GOOGLETRANSLATE(A80,""cs"",""fr"")"),"#VALUE!")</f>
        <v>#VALUE!</v>
      </c>
      <c r="D80" s="59" t="str">
        <f>IFERROR(__xludf.DUMMYFUNCTION("GOOGLETRANSLATE(A80,""cs"",""uk"")"),"#VALUE!")</f>
        <v>#VALUE!</v>
      </c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</row>
    <row r="81">
      <c r="A81" s="61"/>
      <c r="B81" s="61" t="str">
        <f>IFERROR(__xludf.DUMMYFUNCTION("GOOGLETRANSLATE(A81,""cs"",""en"")"),"#VALUE!")</f>
        <v>#VALUE!</v>
      </c>
      <c r="C81" s="61" t="str">
        <f>IFERROR(__xludf.DUMMYFUNCTION("GOOGLETRANSLATE(A81,""cs"",""fr"")"),"#VALUE!")</f>
        <v>#VALUE!</v>
      </c>
      <c r="D81" s="61" t="str">
        <f>IFERROR(__xludf.DUMMYFUNCTION("GOOGLETRANSLATE(A81,""cs"",""uk"")"),"#VALUE!")</f>
        <v>#VALUE!</v>
      </c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</row>
    <row r="82">
      <c r="A82" s="59"/>
      <c r="B82" s="59" t="str">
        <f>IFERROR(__xludf.DUMMYFUNCTION("GOOGLETRANSLATE(A82,""cs"",""en"")"),"#VALUE!")</f>
        <v>#VALUE!</v>
      </c>
      <c r="C82" s="59" t="str">
        <f>IFERROR(__xludf.DUMMYFUNCTION("GOOGLETRANSLATE(A82,""cs"",""fr"")"),"#VALUE!")</f>
        <v>#VALUE!</v>
      </c>
      <c r="D82" s="59" t="str">
        <f>IFERROR(__xludf.DUMMYFUNCTION("GOOGLETRANSLATE(A82,""cs"",""uk"")"),"#VALUE!")</f>
        <v>#VALUE!</v>
      </c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</row>
    <row r="83">
      <c r="A83" s="61"/>
      <c r="B83" s="61" t="str">
        <f>IFERROR(__xludf.DUMMYFUNCTION("GOOGLETRANSLATE(A83,""cs"",""en"")"),"#VALUE!")</f>
        <v>#VALUE!</v>
      </c>
      <c r="C83" s="61" t="str">
        <f>IFERROR(__xludf.DUMMYFUNCTION("GOOGLETRANSLATE(A83,""cs"",""fr"")"),"#VALUE!")</f>
        <v>#VALUE!</v>
      </c>
      <c r="D83" s="61" t="str">
        <f>IFERROR(__xludf.DUMMYFUNCTION("GOOGLETRANSLATE(A83,""cs"",""uk"")"),"#VALUE!")</f>
        <v>#VALUE!</v>
      </c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</row>
    <row r="84">
      <c r="A84" s="59"/>
      <c r="B84" s="59" t="str">
        <f>IFERROR(__xludf.DUMMYFUNCTION("GOOGLETRANSLATE(A84,""cs"",""en"")"),"#VALUE!")</f>
        <v>#VALUE!</v>
      </c>
      <c r="C84" s="59" t="str">
        <f>IFERROR(__xludf.DUMMYFUNCTION("GOOGLETRANSLATE(A84,""cs"",""fr"")"),"#VALUE!")</f>
        <v>#VALUE!</v>
      </c>
      <c r="D84" s="59" t="str">
        <f>IFERROR(__xludf.DUMMYFUNCTION("GOOGLETRANSLATE(A84,""cs"",""uk"")"),"#VALUE!")</f>
        <v>#VALUE!</v>
      </c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</row>
    <row r="85">
      <c r="A85" s="61"/>
      <c r="B85" s="61" t="str">
        <f>IFERROR(__xludf.DUMMYFUNCTION("GOOGLETRANSLATE(A85,""cs"",""en"")"),"#VALUE!")</f>
        <v>#VALUE!</v>
      </c>
      <c r="C85" s="61" t="str">
        <f>IFERROR(__xludf.DUMMYFUNCTION("GOOGLETRANSLATE(A85,""cs"",""fr"")"),"#VALUE!")</f>
        <v>#VALUE!</v>
      </c>
      <c r="D85" s="61" t="str">
        <f>IFERROR(__xludf.DUMMYFUNCTION("GOOGLETRANSLATE(A85,""cs"",""uk"")"),"#VALUE!")</f>
        <v>#VALUE!</v>
      </c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</row>
    <row r="86">
      <c r="A86" s="59"/>
      <c r="B86" s="59" t="str">
        <f>IFERROR(__xludf.DUMMYFUNCTION("GOOGLETRANSLATE(A86,""cs"",""en"")"),"#VALUE!")</f>
        <v>#VALUE!</v>
      </c>
      <c r="C86" s="59" t="str">
        <f>IFERROR(__xludf.DUMMYFUNCTION("GOOGLETRANSLATE(A86,""cs"",""fr"")"),"#VALUE!")</f>
        <v>#VALUE!</v>
      </c>
      <c r="D86" s="59" t="str">
        <f>IFERROR(__xludf.DUMMYFUNCTION("GOOGLETRANSLATE(A86,""cs"",""uk"")"),"#VALUE!")</f>
        <v>#VALUE!</v>
      </c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</row>
    <row r="87">
      <c r="A87" s="61"/>
      <c r="B87" s="61" t="str">
        <f>IFERROR(__xludf.DUMMYFUNCTION("GOOGLETRANSLATE(A87,""cs"",""en"")"),"#VALUE!")</f>
        <v>#VALUE!</v>
      </c>
      <c r="C87" s="61" t="str">
        <f>IFERROR(__xludf.DUMMYFUNCTION("GOOGLETRANSLATE(A87,""cs"",""fr"")"),"#VALUE!")</f>
        <v>#VALUE!</v>
      </c>
      <c r="D87" s="61" t="str">
        <f>IFERROR(__xludf.DUMMYFUNCTION("GOOGLETRANSLATE(A87,""cs"",""uk"")"),"#VALUE!")</f>
        <v>#VALUE!</v>
      </c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</row>
    <row r="88">
      <c r="A88" s="59"/>
      <c r="B88" s="59" t="str">
        <f>IFERROR(__xludf.DUMMYFUNCTION("GOOGLETRANSLATE(A88,""cs"",""en"")"),"#VALUE!")</f>
        <v>#VALUE!</v>
      </c>
      <c r="C88" s="59" t="str">
        <f>IFERROR(__xludf.DUMMYFUNCTION("GOOGLETRANSLATE(A88,""cs"",""fr"")"),"#VALUE!")</f>
        <v>#VALUE!</v>
      </c>
      <c r="D88" s="59" t="str">
        <f>IFERROR(__xludf.DUMMYFUNCTION("GOOGLETRANSLATE(A88,""cs"",""uk"")"),"#VALUE!")</f>
        <v>#VALUE!</v>
      </c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</row>
    <row r="89">
      <c r="A89" s="61"/>
      <c r="B89" s="61" t="str">
        <f>IFERROR(__xludf.DUMMYFUNCTION("GOOGLETRANSLATE(A89,""cs"",""en"")"),"#VALUE!")</f>
        <v>#VALUE!</v>
      </c>
      <c r="C89" s="61" t="str">
        <f>IFERROR(__xludf.DUMMYFUNCTION("GOOGLETRANSLATE(A89,""cs"",""fr"")"),"#VALUE!")</f>
        <v>#VALUE!</v>
      </c>
      <c r="D89" s="61" t="str">
        <f>IFERROR(__xludf.DUMMYFUNCTION("GOOGLETRANSLATE(A89,""cs"",""uk"")"),"#VALUE!")</f>
        <v>#VALUE!</v>
      </c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</row>
    <row r="90">
      <c r="A90" s="59"/>
      <c r="B90" s="59" t="str">
        <f>IFERROR(__xludf.DUMMYFUNCTION("GOOGLETRANSLATE(A90,""cs"",""en"")"),"#VALUE!")</f>
        <v>#VALUE!</v>
      </c>
      <c r="C90" s="59" t="str">
        <f>IFERROR(__xludf.DUMMYFUNCTION("GOOGLETRANSLATE(A90,""cs"",""fr"")"),"#VALUE!")</f>
        <v>#VALUE!</v>
      </c>
      <c r="D90" s="59" t="str">
        <f>IFERROR(__xludf.DUMMYFUNCTION("GOOGLETRANSLATE(A90,""cs"",""uk"")"),"#VALUE!")</f>
        <v>#VALUE!</v>
      </c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</row>
    <row r="91">
      <c r="A91" s="61"/>
      <c r="B91" s="61" t="str">
        <f>IFERROR(__xludf.DUMMYFUNCTION("GOOGLETRANSLATE(A91,""cs"",""en"")"),"#VALUE!")</f>
        <v>#VALUE!</v>
      </c>
      <c r="C91" s="61" t="str">
        <f>IFERROR(__xludf.DUMMYFUNCTION("GOOGLETRANSLATE(A91,""cs"",""fr"")"),"#VALUE!")</f>
        <v>#VALUE!</v>
      </c>
      <c r="D91" s="61" t="str">
        <f>IFERROR(__xludf.DUMMYFUNCTION("GOOGLETRANSLATE(A91,""cs"",""uk"")"),"#VALUE!")</f>
        <v>#VALUE!</v>
      </c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</row>
    <row r="92">
      <c r="A92" s="59"/>
      <c r="B92" s="59" t="str">
        <f>IFERROR(__xludf.DUMMYFUNCTION("GOOGLETRANSLATE(A92,""cs"",""en"")"),"#VALUE!")</f>
        <v>#VALUE!</v>
      </c>
      <c r="C92" s="59" t="str">
        <f>IFERROR(__xludf.DUMMYFUNCTION("GOOGLETRANSLATE(A92,""cs"",""fr"")"),"#VALUE!")</f>
        <v>#VALUE!</v>
      </c>
      <c r="D92" s="59" t="str">
        <f>IFERROR(__xludf.DUMMYFUNCTION("GOOGLETRANSLATE(A92,""cs"",""uk"")"),"#VALUE!")</f>
        <v>#VALUE!</v>
      </c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</row>
    <row r="93">
      <c r="A93" s="61"/>
      <c r="B93" s="61" t="str">
        <f>IFERROR(__xludf.DUMMYFUNCTION("GOOGLETRANSLATE(A93,""cs"",""en"")"),"#VALUE!")</f>
        <v>#VALUE!</v>
      </c>
      <c r="C93" s="61" t="str">
        <f>IFERROR(__xludf.DUMMYFUNCTION("GOOGLETRANSLATE(A93,""cs"",""fr"")"),"#VALUE!")</f>
        <v>#VALUE!</v>
      </c>
      <c r="D93" s="61" t="str">
        <f>IFERROR(__xludf.DUMMYFUNCTION("GOOGLETRANSLATE(A93,""cs"",""uk"")"),"#VALUE!")</f>
        <v>#VALUE!</v>
      </c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</row>
    <row r="94">
      <c r="A94" s="59"/>
      <c r="B94" s="59" t="str">
        <f>IFERROR(__xludf.DUMMYFUNCTION("GOOGLETRANSLATE(A94,""cs"",""en"")"),"#VALUE!")</f>
        <v>#VALUE!</v>
      </c>
      <c r="C94" s="59" t="str">
        <f>IFERROR(__xludf.DUMMYFUNCTION("GOOGLETRANSLATE(A94,""cs"",""fr"")"),"#VALUE!")</f>
        <v>#VALUE!</v>
      </c>
      <c r="D94" s="59" t="str">
        <f>IFERROR(__xludf.DUMMYFUNCTION("GOOGLETRANSLATE(A94,""cs"",""uk"")"),"#VALUE!")</f>
        <v>#VALUE!</v>
      </c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</row>
    <row r="95">
      <c r="A95" s="61"/>
      <c r="B95" s="61" t="str">
        <f>IFERROR(__xludf.DUMMYFUNCTION("GOOGLETRANSLATE(A95,""cs"",""en"")"),"#VALUE!")</f>
        <v>#VALUE!</v>
      </c>
      <c r="C95" s="61" t="str">
        <f>IFERROR(__xludf.DUMMYFUNCTION("GOOGLETRANSLATE(A95,""cs"",""fr"")"),"#VALUE!")</f>
        <v>#VALUE!</v>
      </c>
      <c r="D95" s="61" t="str">
        <f>IFERROR(__xludf.DUMMYFUNCTION("GOOGLETRANSLATE(A95,""cs"",""uk"")"),"#VALUE!")</f>
        <v>#VALUE!</v>
      </c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</row>
    <row r="96">
      <c r="A96" s="59"/>
      <c r="B96" s="59" t="str">
        <f>IFERROR(__xludf.DUMMYFUNCTION("GOOGLETRANSLATE(A96,""cs"",""en"")"),"#VALUE!")</f>
        <v>#VALUE!</v>
      </c>
      <c r="C96" s="59" t="str">
        <f>IFERROR(__xludf.DUMMYFUNCTION("GOOGLETRANSLATE(A96,""cs"",""fr"")"),"#VALUE!")</f>
        <v>#VALUE!</v>
      </c>
      <c r="D96" s="59" t="str">
        <f>IFERROR(__xludf.DUMMYFUNCTION("GOOGLETRANSLATE(A96,""cs"",""uk"")"),"#VALUE!")</f>
        <v>#VALUE!</v>
      </c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</row>
    <row r="97">
      <c r="A97" s="61"/>
      <c r="B97" s="61" t="str">
        <f>IFERROR(__xludf.DUMMYFUNCTION("GOOGLETRANSLATE(A97,""cs"",""en"")"),"#VALUE!")</f>
        <v>#VALUE!</v>
      </c>
      <c r="C97" s="61" t="str">
        <f>IFERROR(__xludf.DUMMYFUNCTION("GOOGLETRANSLATE(A97,""cs"",""fr"")"),"#VALUE!")</f>
        <v>#VALUE!</v>
      </c>
      <c r="D97" s="61" t="str">
        <f>IFERROR(__xludf.DUMMYFUNCTION("GOOGLETRANSLATE(A97,""cs"",""uk"")"),"#VALUE!")</f>
        <v>#VALUE!</v>
      </c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</row>
    <row r="98">
      <c r="A98" s="59"/>
      <c r="B98" s="59" t="str">
        <f>IFERROR(__xludf.DUMMYFUNCTION("GOOGLETRANSLATE(A98,""cs"",""en"")"),"#VALUE!")</f>
        <v>#VALUE!</v>
      </c>
      <c r="C98" s="59" t="str">
        <f>IFERROR(__xludf.DUMMYFUNCTION("GOOGLETRANSLATE(A98,""cs"",""fr"")"),"#VALUE!")</f>
        <v>#VALUE!</v>
      </c>
      <c r="D98" s="59" t="str">
        <f>IFERROR(__xludf.DUMMYFUNCTION("GOOGLETRANSLATE(A98,""cs"",""uk"")"),"#VALUE!")</f>
        <v>#VALUE!</v>
      </c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</row>
    <row r="99">
      <c r="A99" s="61"/>
      <c r="B99" s="61" t="str">
        <f>IFERROR(__xludf.DUMMYFUNCTION("GOOGLETRANSLATE(A99,""cs"",""en"")"),"#VALUE!")</f>
        <v>#VALUE!</v>
      </c>
      <c r="C99" s="61" t="str">
        <f>IFERROR(__xludf.DUMMYFUNCTION("GOOGLETRANSLATE(A99,""cs"",""fr"")"),"#VALUE!")</f>
        <v>#VALUE!</v>
      </c>
      <c r="D99" s="61" t="str">
        <f>IFERROR(__xludf.DUMMYFUNCTION("GOOGLETRANSLATE(A99,""cs"",""uk"")"),"#VALUE!")</f>
        <v>#VALUE!</v>
      </c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</row>
    <row r="100">
      <c r="A100" s="59"/>
      <c r="B100" s="59" t="str">
        <f>IFERROR(__xludf.DUMMYFUNCTION("GOOGLETRANSLATE(A100,""cs"",""en"")"),"#VALUE!")</f>
        <v>#VALUE!</v>
      </c>
      <c r="C100" s="59" t="str">
        <f>IFERROR(__xludf.DUMMYFUNCTION("GOOGLETRANSLATE(A100,""cs"",""fr"")"),"#VALUE!")</f>
        <v>#VALUE!</v>
      </c>
      <c r="D100" s="59" t="str">
        <f>IFERROR(__xludf.DUMMYFUNCTION("GOOGLETRANSLATE(A100,""cs"",""uk"")"),"#VALUE!")</f>
        <v>#VALUE!</v>
      </c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</row>
    <row r="10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</row>
    <row r="10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</row>
    <row r="10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</row>
    <row r="107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09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</row>
    <row r="11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</row>
    <row r="113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</row>
    <row r="11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</row>
    <row r="117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</row>
    <row r="119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</row>
    <row r="12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</row>
    <row r="123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</row>
    <row r="1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</row>
    <row r="127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</row>
    <row r="129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</row>
    <row r="13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</row>
    <row r="13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</row>
    <row r="13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</row>
    <row r="137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</row>
    <row r="139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</row>
    <row r="14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</row>
    <row r="143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</row>
    <row r="14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</row>
    <row r="147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</row>
    <row r="149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</row>
    <row r="15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</row>
    <row r="153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</row>
    <row r="15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</row>
    <row r="157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</row>
    <row r="159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</row>
    <row r="16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</row>
    <row r="16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</row>
    <row r="16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</row>
    <row r="167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</row>
    <row r="169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</row>
    <row r="17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</row>
    <row r="17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</row>
    <row r="17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</row>
    <row r="177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</row>
    <row r="179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</row>
    <row r="18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</row>
    <row r="18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</row>
    <row r="18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</row>
    <row r="187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</row>
    <row r="189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</row>
    <row r="19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</row>
    <row r="193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</row>
    <row r="19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</row>
    <row r="197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</row>
    <row r="199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</row>
    <row r="20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</row>
    <row r="203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</row>
    <row r="20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</row>
    <row r="207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</row>
    <row r="209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</row>
    <row r="21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</row>
    <row r="213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</row>
    <row r="21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</row>
    <row r="217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</row>
    <row r="219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</row>
    <row r="22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</row>
    <row r="223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</row>
    <row r="2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</row>
    <row r="227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</row>
    <row r="229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</row>
    <row r="23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</row>
    <row r="233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</row>
    <row r="23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</row>
    <row r="237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</row>
    <row r="239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</row>
    <row r="24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</row>
    <row r="243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</row>
    <row r="245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</row>
    <row r="247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</row>
    <row r="249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</row>
    <row r="25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</row>
    <row r="253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</row>
    <row r="25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</row>
    <row r="257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</row>
    <row r="259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</row>
    <row r="26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</row>
    <row r="263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</row>
    <row r="265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</row>
    <row r="267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</row>
    <row r="269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</row>
    <row r="27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</row>
    <row r="27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</row>
    <row r="275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</row>
    <row r="277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</row>
    <row r="279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</row>
    <row r="28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</row>
    <row r="28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</row>
    <row r="285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</row>
    <row r="287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</row>
    <row r="289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</row>
    <row r="29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</row>
    <row r="29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</row>
    <row r="295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</row>
    <row r="297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</row>
    <row r="299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</row>
    <row r="30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</row>
    <row r="30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</row>
    <row r="305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</row>
    <row r="307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</row>
    <row r="309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</row>
    <row r="31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</row>
    <row r="31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</row>
    <row r="315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</row>
    <row r="317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</row>
    <row r="319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</row>
    <row r="32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</row>
    <row r="32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</row>
    <row r="325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</row>
    <row r="327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</row>
    <row r="329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</row>
    <row r="33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</row>
    <row r="33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</row>
    <row r="335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</row>
    <row r="337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</row>
    <row r="339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</row>
    <row r="34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</row>
    <row r="34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</row>
    <row r="34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</row>
    <row r="347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</row>
    <row r="349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</row>
    <row r="35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</row>
    <row r="35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</row>
    <row r="35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</row>
    <row r="357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</row>
    <row r="359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</row>
    <row r="36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</row>
    <row r="36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</row>
    <row r="36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</row>
    <row r="367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</row>
    <row r="369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</row>
    <row r="37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</row>
    <row r="37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</row>
    <row r="37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</row>
    <row r="377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</row>
    <row r="379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</row>
    <row r="38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</row>
    <row r="38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</row>
    <row r="38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</row>
    <row r="387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</row>
    <row r="389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</row>
    <row r="39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</row>
    <row r="39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</row>
    <row r="39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</row>
    <row r="397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</row>
    <row r="399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</row>
    <row r="40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</row>
    <row r="40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</row>
    <row r="40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</row>
    <row r="407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</row>
    <row r="409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</row>
    <row r="41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</row>
    <row r="41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</row>
    <row r="41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</row>
    <row r="417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</row>
    <row r="419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</row>
    <row r="42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</row>
    <row r="42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</row>
    <row r="4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</row>
    <row r="427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</row>
    <row r="429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</row>
    <row r="43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</row>
    <row r="43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</row>
    <row r="43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</row>
    <row r="437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</row>
    <row r="439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</row>
    <row r="44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</row>
    <row r="44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</row>
    <row r="44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</row>
    <row r="447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</row>
    <row r="449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</row>
    <row r="45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</row>
    <row r="45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</row>
    <row r="45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</row>
    <row r="457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</row>
    <row r="459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</row>
    <row r="46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</row>
    <row r="46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</row>
    <row r="46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</row>
    <row r="467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</row>
    <row r="469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</row>
    <row r="47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</row>
    <row r="47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</row>
    <row r="47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</row>
    <row r="477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</row>
    <row r="479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</row>
    <row r="48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</row>
    <row r="48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</row>
    <row r="48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</row>
    <row r="487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</row>
    <row r="489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</row>
    <row r="49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</row>
    <row r="49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</row>
    <row r="49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</row>
    <row r="497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</row>
    <row r="499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</row>
    <row r="50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</row>
    <row r="50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</row>
    <row r="50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</row>
    <row r="507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</row>
    <row r="509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</row>
    <row r="51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</row>
    <row r="51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</row>
    <row r="51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</row>
    <row r="517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</row>
    <row r="519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</row>
    <row r="52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</row>
    <row r="52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</row>
    <row r="52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</row>
    <row r="527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</row>
    <row r="529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</row>
    <row r="53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</row>
    <row r="53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</row>
    <row r="53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</row>
    <row r="537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</row>
    <row r="539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</row>
    <row r="54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</row>
    <row r="54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</row>
    <row r="54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</row>
    <row r="547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</row>
    <row r="549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</row>
    <row r="55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</row>
    <row r="55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</row>
    <row r="55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</row>
    <row r="557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</row>
    <row r="559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</row>
    <row r="56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</row>
    <row r="56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</row>
    <row r="56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</row>
    <row r="567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</row>
    <row r="569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</row>
    <row r="57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</row>
    <row r="57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</row>
    <row r="57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</row>
    <row r="577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</row>
    <row r="579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</row>
    <row r="58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</row>
    <row r="58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</row>
    <row r="58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</row>
    <row r="587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</row>
    <row r="589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</row>
    <row r="59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</row>
    <row r="59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</row>
    <row r="59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</row>
    <row r="597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</row>
    <row r="599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</row>
    <row r="60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</row>
    <row r="60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</row>
    <row r="60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</row>
    <row r="607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</row>
    <row r="609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</row>
    <row r="61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</row>
    <row r="61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</row>
    <row r="61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</row>
    <row r="617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</row>
    <row r="619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</row>
    <row r="62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</row>
    <row r="62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</row>
    <row r="62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</row>
    <row r="627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</row>
    <row r="629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</row>
    <row r="63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</row>
    <row r="63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</row>
    <row r="63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</row>
    <row r="637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</row>
    <row r="639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</row>
    <row r="64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</row>
    <row r="64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</row>
    <row r="64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</row>
    <row r="647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</row>
    <row r="649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</row>
    <row r="65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</row>
    <row r="65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</row>
    <row r="65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</row>
    <row r="657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</row>
    <row r="659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</row>
    <row r="66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</row>
    <row r="66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</row>
    <row r="66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</row>
    <row r="667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</row>
    <row r="669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</row>
    <row r="67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</row>
    <row r="67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</row>
    <row r="67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</row>
    <row r="677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</row>
    <row r="679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</row>
    <row r="68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</row>
    <row r="68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</row>
    <row r="68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</row>
    <row r="687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</row>
    <row r="689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</row>
    <row r="69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</row>
    <row r="69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</row>
    <row r="69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</row>
    <row r="697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</row>
    <row r="699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</row>
    <row r="70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</row>
    <row r="70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</row>
    <row r="70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</row>
    <row r="707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</row>
    <row r="709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</row>
    <row r="71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</row>
    <row r="71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</row>
    <row r="71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</row>
    <row r="717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</row>
    <row r="719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</row>
    <row r="72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</row>
    <row r="72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</row>
    <row r="7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</row>
    <row r="727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</row>
    <row r="729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</row>
    <row r="73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</row>
    <row r="73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</row>
    <row r="73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</row>
    <row r="737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</row>
    <row r="739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</row>
    <row r="74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</row>
    <row r="74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</row>
    <row r="74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</row>
    <row r="747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</row>
    <row r="749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</row>
    <row r="75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</row>
    <row r="75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</row>
    <row r="75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</row>
    <row r="757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</row>
    <row r="759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</row>
    <row r="76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</row>
    <row r="76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</row>
    <row r="76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</row>
    <row r="767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</row>
    <row r="769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</row>
    <row r="77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</row>
    <row r="77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</row>
    <row r="77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</row>
    <row r="777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</row>
    <row r="779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</row>
    <row r="78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</row>
    <row r="78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</row>
    <row r="78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</row>
    <row r="787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</row>
    <row r="789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</row>
    <row r="79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</row>
    <row r="79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</row>
    <row r="79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</row>
    <row r="797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</row>
    <row r="799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</row>
    <row r="80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</row>
    <row r="80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</row>
    <row r="80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</row>
    <row r="807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</row>
    <row r="809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</row>
    <row r="81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</row>
    <row r="81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</row>
    <row r="81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</row>
    <row r="817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</row>
    <row r="819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</row>
    <row r="82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</row>
    <row r="82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</row>
    <row r="8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</row>
    <row r="827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</row>
    <row r="829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</row>
    <row r="83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</row>
    <row r="83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</row>
    <row r="83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</row>
    <row r="837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</row>
    <row r="839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</row>
    <row r="84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</row>
    <row r="84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</row>
    <row r="84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</row>
    <row r="847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</row>
    <row r="849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</row>
    <row r="85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</row>
    <row r="85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</row>
    <row r="85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</row>
    <row r="857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</row>
    <row r="859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</row>
    <row r="86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</row>
    <row r="86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</row>
    <row r="86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</row>
    <row r="867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</row>
    <row r="869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</row>
    <row r="87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</row>
    <row r="87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</row>
    <row r="87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</row>
    <row r="877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</row>
    <row r="879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</row>
    <row r="88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</row>
    <row r="88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</row>
    <row r="88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</row>
    <row r="887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</row>
    <row r="889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</row>
    <row r="89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</row>
    <row r="89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</row>
    <row r="89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</row>
    <row r="897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</row>
    <row r="899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</row>
    <row r="90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</row>
    <row r="903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</row>
    <row r="905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</row>
    <row r="907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</row>
    <row r="909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</row>
    <row r="91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</row>
    <row r="913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</row>
    <row r="915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</row>
    <row r="917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</row>
    <row r="919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</row>
    <row r="92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</row>
    <row r="923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</row>
    <row r="925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</row>
    <row r="927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</row>
    <row r="929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</row>
    <row r="93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</row>
    <row r="933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</row>
    <row r="935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</row>
    <row r="937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</row>
    <row r="939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</row>
    <row r="94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</row>
    <row r="943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</row>
    <row r="945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</row>
    <row r="947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</row>
    <row r="949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</row>
    <row r="95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</row>
    <row r="953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</row>
    <row r="955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</row>
    <row r="957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</row>
    <row r="959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</row>
    <row r="96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</row>
    <row r="963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</row>
    <row r="965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</row>
    <row r="967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</row>
    <row r="969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</row>
    <row r="97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</row>
    <row r="973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</row>
    <row r="975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</row>
    <row r="977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</row>
    <row r="979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</row>
    <row r="98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</row>
    <row r="983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</row>
    <row r="985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</row>
    <row r="987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</row>
    <row r="989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</row>
    <row r="99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</row>
    <row r="993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</row>
    <row r="995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</row>
    <row r="997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</row>
    <row r="998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</row>
    <row r="999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</row>
    <row r="1000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</row>
    <row r="1001">
      <c r="A1001" s="61"/>
      <c r="B1001" s="61"/>
      <c r="C1001" s="61"/>
      <c r="D1001" s="61"/>
      <c r="E1001" s="61"/>
      <c r="F1001" s="61"/>
      <c r="G1001" s="61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  <c r="AA1001" s="61"/>
    </row>
    <row r="1002">
      <c r="A1002" s="59"/>
      <c r="B1002" s="59"/>
      <c r="C1002" s="59"/>
      <c r="D1002" s="59"/>
      <c r="E1002" s="59"/>
      <c r="F1002" s="59"/>
      <c r="G1002" s="59"/>
      <c r="H1002" s="59"/>
      <c r="I1002" s="59"/>
      <c r="J1002" s="59"/>
      <c r="K1002" s="59"/>
      <c r="L1002" s="59"/>
      <c r="M1002" s="59"/>
      <c r="N1002" s="59"/>
      <c r="O1002" s="59"/>
      <c r="P1002" s="59"/>
      <c r="Q1002" s="59"/>
      <c r="R1002" s="59"/>
      <c r="S1002" s="59"/>
      <c r="T1002" s="59"/>
      <c r="U1002" s="59"/>
      <c r="V1002" s="59"/>
      <c r="W1002" s="59"/>
      <c r="X1002" s="59"/>
      <c r="Y1002" s="59"/>
      <c r="Z1002" s="59"/>
      <c r="AA1002" s="59"/>
    </row>
    <row r="1003">
      <c r="A1003" s="61"/>
      <c r="B1003" s="61"/>
      <c r="C1003" s="61"/>
      <c r="D1003" s="61"/>
      <c r="E1003" s="61"/>
      <c r="F1003" s="61"/>
      <c r="G1003" s="61"/>
      <c r="H1003" s="61"/>
      <c r="I1003" s="61"/>
      <c r="J1003" s="61"/>
      <c r="K1003" s="61"/>
      <c r="L1003" s="61"/>
      <c r="M1003" s="61"/>
      <c r="N1003" s="61"/>
      <c r="O1003" s="61"/>
      <c r="P1003" s="61"/>
      <c r="Q1003" s="61"/>
      <c r="R1003" s="61"/>
      <c r="S1003" s="61"/>
      <c r="T1003" s="61"/>
      <c r="U1003" s="61"/>
      <c r="V1003" s="61"/>
      <c r="W1003" s="61"/>
      <c r="X1003" s="61"/>
      <c r="Y1003" s="61"/>
      <c r="Z1003" s="61"/>
      <c r="AA1003" s="61"/>
    </row>
    <row r="1004">
      <c r="A1004" s="59"/>
      <c r="B1004" s="59"/>
      <c r="C1004" s="59"/>
      <c r="D1004" s="59"/>
      <c r="E1004" s="59"/>
      <c r="F1004" s="59"/>
      <c r="G1004" s="59"/>
      <c r="H1004" s="59"/>
      <c r="I1004" s="59"/>
      <c r="J1004" s="59"/>
      <c r="K1004" s="59"/>
      <c r="L1004" s="59"/>
      <c r="M1004" s="59"/>
      <c r="N1004" s="59"/>
      <c r="O1004" s="59"/>
      <c r="P1004" s="59"/>
      <c r="Q1004" s="59"/>
      <c r="R1004" s="59"/>
      <c r="S1004" s="59"/>
      <c r="T1004" s="59"/>
      <c r="U1004" s="59"/>
      <c r="V1004" s="59"/>
      <c r="W1004" s="59"/>
      <c r="X1004" s="59"/>
      <c r="Y1004" s="59"/>
      <c r="Z1004" s="59"/>
      <c r="AA1004" s="59"/>
    </row>
  </sheetData>
  <autoFilter ref="$A$1:$E$1004">
    <sortState ref="A1:E1004">
      <sortCondition ref="A1:A1004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7" t="s">
        <v>388</v>
      </c>
      <c r="B1" s="7" t="s">
        <v>389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7" t="s">
        <v>397</v>
      </c>
    </row>
    <row r="3">
      <c r="A3" s="7" t="s">
        <v>398</v>
      </c>
      <c r="C3" s="7" t="s">
        <v>399</v>
      </c>
    </row>
    <row r="4">
      <c r="C4" s="7" t="s">
        <v>400</v>
      </c>
    </row>
    <row r="5">
      <c r="C5" s="7" t="s">
        <v>401</v>
      </c>
    </row>
    <row r="6">
      <c r="C6" s="7" t="s">
        <v>402</v>
      </c>
    </row>
    <row r="8">
      <c r="A8" s="7" t="s">
        <v>403</v>
      </c>
      <c r="C8" s="7" t="s">
        <v>404</v>
      </c>
    </row>
    <row r="10">
      <c r="A10" s="3" t="s">
        <v>1</v>
      </c>
    </row>
    <row r="12">
      <c r="A12" s="5" t="s">
        <v>3</v>
      </c>
      <c r="C12" s="7" t="s">
        <v>405</v>
      </c>
    </row>
    <row r="13">
      <c r="A13" s="10"/>
      <c r="B13" s="7"/>
      <c r="C13" s="7" t="s">
        <v>406</v>
      </c>
    </row>
    <row r="14">
      <c r="A14" s="10"/>
      <c r="B14" s="7"/>
      <c r="C14" s="7" t="s">
        <v>407</v>
      </c>
    </row>
    <row r="15">
      <c r="A15" s="10"/>
      <c r="C15" s="7" t="s">
        <v>408</v>
      </c>
    </row>
    <row r="16">
      <c r="A16" s="10"/>
      <c r="C16" s="7" t="s">
        <v>409</v>
      </c>
    </row>
    <row r="17">
      <c r="C17" s="7" t="s">
        <v>410</v>
      </c>
    </row>
    <row r="19">
      <c r="A19" s="7" t="s">
        <v>411</v>
      </c>
      <c r="C19" s="7" t="s">
        <v>78</v>
      </c>
    </row>
    <row r="21">
      <c r="A21" s="5" t="s">
        <v>412</v>
      </c>
      <c r="C21" s="7" t="s">
        <v>413</v>
      </c>
    </row>
    <row r="22">
      <c r="A22" s="5"/>
      <c r="C22" s="7" t="s">
        <v>414</v>
      </c>
    </row>
    <row r="23">
      <c r="A23" s="5"/>
      <c r="C23" s="7" t="s">
        <v>416</v>
      </c>
    </row>
    <row r="24">
      <c r="A24" s="5"/>
      <c r="C24" s="7" t="s">
        <v>417</v>
      </c>
    </row>
    <row r="25">
      <c r="A25" s="5"/>
    </row>
    <row r="26">
      <c r="A26" s="7" t="s">
        <v>134</v>
      </c>
      <c r="C26" s="7" t="s">
        <v>418</v>
      </c>
      <c r="D26" s="7" t="s">
        <v>419</v>
      </c>
    </row>
    <row r="27">
      <c r="A27" s="5"/>
    </row>
    <row r="28">
      <c r="A28" s="5" t="s">
        <v>420</v>
      </c>
      <c r="C28" s="7" t="s">
        <v>421</v>
      </c>
      <c r="D28" s="7" t="s">
        <v>422</v>
      </c>
    </row>
    <row r="29">
      <c r="A29" s="5"/>
      <c r="C29" s="7" t="s">
        <v>423</v>
      </c>
      <c r="D29" s="7" t="s">
        <v>424</v>
      </c>
    </row>
    <row r="30">
      <c r="A30" s="5"/>
    </row>
    <row r="31">
      <c r="A31" s="5" t="s">
        <v>425</v>
      </c>
      <c r="C31" s="7" t="s">
        <v>426</v>
      </c>
      <c r="D31" s="7" t="s">
        <v>427</v>
      </c>
    </row>
    <row r="32">
      <c r="A32" s="5"/>
      <c r="C32" s="7" t="s">
        <v>243</v>
      </c>
      <c r="D32" s="7" t="s">
        <v>242</v>
      </c>
    </row>
    <row r="33">
      <c r="A33" s="7"/>
      <c r="C33" s="7" t="s">
        <v>428</v>
      </c>
      <c r="D33" s="7" t="s">
        <v>429</v>
      </c>
    </row>
    <row r="34">
      <c r="A34" s="7"/>
      <c r="C34" s="7"/>
      <c r="D34" s="7"/>
    </row>
    <row r="35">
      <c r="A35" s="7" t="s">
        <v>162</v>
      </c>
      <c r="C35" s="7" t="s">
        <v>430</v>
      </c>
      <c r="D35" s="7" t="s">
        <v>431</v>
      </c>
    </row>
    <row r="36">
      <c r="C36" s="7" t="s">
        <v>432</v>
      </c>
      <c r="D36" s="7" t="s">
        <v>433</v>
      </c>
    </row>
    <row r="37">
      <c r="C37" s="7" t="s">
        <v>163</v>
      </c>
      <c r="D37" s="7" t="s">
        <v>434</v>
      </c>
    </row>
    <row r="38">
      <c r="C38" s="7" t="s">
        <v>166</v>
      </c>
      <c r="D38" s="7" t="s">
        <v>435</v>
      </c>
    </row>
    <row r="40">
      <c r="A40" s="7" t="s">
        <v>279</v>
      </c>
      <c r="C40" s="7" t="s">
        <v>281</v>
      </c>
    </row>
    <row r="41">
      <c r="A41" s="7" t="s">
        <v>282</v>
      </c>
      <c r="C41" s="7" t="s">
        <v>285</v>
      </c>
    </row>
    <row r="42">
      <c r="C42" s="7" t="s">
        <v>292</v>
      </c>
    </row>
    <row r="43">
      <c r="A43" s="10"/>
    </row>
    <row r="44">
      <c r="A44" s="7" t="s">
        <v>307</v>
      </c>
      <c r="B44" s="7" t="s">
        <v>309</v>
      </c>
      <c r="C44" s="7" t="s">
        <v>310</v>
      </c>
    </row>
    <row r="45">
      <c r="C45" s="7" t="s">
        <v>312</v>
      </c>
    </row>
    <row r="46">
      <c r="C46" s="7" t="s">
        <v>317</v>
      </c>
    </row>
    <row r="47">
      <c r="C47" s="7" t="s">
        <v>318</v>
      </c>
    </row>
    <row r="48">
      <c r="C48" s="7" t="s">
        <v>320</v>
      </c>
    </row>
    <row r="49">
      <c r="C49" s="7" t="s">
        <v>321</v>
      </c>
    </row>
    <row r="51">
      <c r="C51" s="7" t="s">
        <v>323</v>
      </c>
    </row>
    <row r="52">
      <c r="C52" s="7" t="s">
        <v>325</v>
      </c>
    </row>
    <row r="53">
      <c r="C53" s="7" t="s">
        <v>326</v>
      </c>
    </row>
    <row r="55">
      <c r="A55" s="7" t="s">
        <v>441</v>
      </c>
      <c r="C55" s="7" t="s">
        <v>442</v>
      </c>
    </row>
    <row r="56">
      <c r="C56" s="7" t="s">
        <v>443</v>
      </c>
    </row>
    <row r="58">
      <c r="A58" s="7" t="s">
        <v>397</v>
      </c>
      <c r="C58" s="7" t="s">
        <v>444</v>
      </c>
    </row>
    <row r="59">
      <c r="C59" s="7" t="s">
        <v>445</v>
      </c>
    </row>
    <row r="60">
      <c r="C60" s="7" t="s">
        <v>447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7.29" defaultRowHeight="15.0"/>
  <cols>
    <col customWidth="1" min="1" max="1" width="43.86"/>
    <col customWidth="1" min="2" max="2" width="29.71"/>
    <col customWidth="1" min="3" max="3" width="26.71"/>
    <col customWidth="1" min="4" max="4" width="28.71"/>
    <col customWidth="1" min="5" max="5" width="41.29"/>
    <col customWidth="1" min="6" max="6" width="18.57"/>
    <col customWidth="1" min="7" max="26" width="8.71"/>
  </cols>
  <sheetData>
    <row r="1">
      <c r="A1" s="62" t="s">
        <v>437</v>
      </c>
      <c r="B1" s="63" t="s">
        <v>438</v>
      </c>
      <c r="C1" s="63" t="s">
        <v>439</v>
      </c>
      <c r="D1" s="63" t="s">
        <v>439</v>
      </c>
      <c r="E1" s="63" t="s">
        <v>439</v>
      </c>
    </row>
    <row r="2">
      <c r="A2" s="7" t="s">
        <v>440</v>
      </c>
      <c r="B2" s="64">
        <v>42434.0</v>
      </c>
      <c r="C2" s="64">
        <v>42433.0</v>
      </c>
      <c r="D2" s="64">
        <v>42432.0</v>
      </c>
      <c r="E2" s="65"/>
      <c r="F2" s="65"/>
    </row>
    <row r="3">
      <c r="A3" s="7" t="s">
        <v>3</v>
      </c>
      <c r="B3" s="66" t="s">
        <v>446</v>
      </c>
      <c r="C3" s="66" t="s">
        <v>448</v>
      </c>
      <c r="D3" s="66" t="s">
        <v>449</v>
      </c>
      <c r="E3" s="66" t="s">
        <v>450</v>
      </c>
      <c r="F3" s="65"/>
    </row>
    <row r="4">
      <c r="A4" s="7" t="s">
        <v>451</v>
      </c>
      <c r="B4" s="66">
        <v>50.0</v>
      </c>
      <c r="C4" s="66">
        <v>60.0</v>
      </c>
      <c r="D4" s="66"/>
      <c r="E4" s="66"/>
      <c r="F4" s="65"/>
    </row>
    <row r="5">
      <c r="A5" s="7" t="s">
        <v>452</v>
      </c>
      <c r="B5" s="66" t="s">
        <v>454</v>
      </c>
      <c r="C5" s="66" t="s">
        <v>455</v>
      </c>
      <c r="D5" s="66" t="s">
        <v>456</v>
      </c>
      <c r="E5" s="67" t="s">
        <v>457</v>
      </c>
    </row>
    <row r="6">
      <c r="A6" s="7" t="s">
        <v>98</v>
      </c>
      <c r="B6" s="66" t="s">
        <v>458</v>
      </c>
      <c r="C6" s="66" t="s">
        <v>459</v>
      </c>
      <c r="D6" s="66" t="s">
        <v>460</v>
      </c>
      <c r="E6" s="65"/>
      <c r="F6" s="65"/>
    </row>
    <row r="7">
      <c r="A7" s="7" t="s">
        <v>461</v>
      </c>
      <c r="B7" s="66" t="s">
        <v>462</v>
      </c>
      <c r="C7" s="66" t="s">
        <v>463</v>
      </c>
      <c r="D7" s="65"/>
      <c r="E7" s="65"/>
      <c r="F7" s="65"/>
    </row>
    <row r="8">
      <c r="A8" s="7" t="s">
        <v>464</v>
      </c>
      <c r="B8" s="66" t="s">
        <v>465</v>
      </c>
      <c r="C8" s="66" t="s">
        <v>466</v>
      </c>
      <c r="D8" s="65"/>
      <c r="E8" s="65"/>
      <c r="F8" s="65"/>
    </row>
    <row r="9">
      <c r="A9" s="68" t="s">
        <v>467</v>
      </c>
      <c r="B9" s="66" t="s">
        <v>462</v>
      </c>
      <c r="C9" s="66" t="s">
        <v>463</v>
      </c>
      <c r="D9" s="65"/>
      <c r="E9" s="65"/>
      <c r="F9" s="65"/>
    </row>
    <row r="10">
      <c r="A10" s="68" t="s">
        <v>468</v>
      </c>
      <c r="B10" s="66" t="s">
        <v>466</v>
      </c>
      <c r="C10" s="65"/>
      <c r="D10" s="65"/>
      <c r="E10" s="65"/>
      <c r="F10" s="65"/>
    </row>
    <row r="11">
      <c r="A11" s="7" t="s">
        <v>469</v>
      </c>
      <c r="B11" s="66" t="s">
        <v>470</v>
      </c>
      <c r="C11" s="66" t="s">
        <v>471</v>
      </c>
      <c r="D11" s="65"/>
      <c r="E11" s="65"/>
      <c r="F11" s="65"/>
    </row>
    <row r="12">
      <c r="A12" s="7" t="s">
        <v>472</v>
      </c>
      <c r="B12" s="66" t="s">
        <v>471</v>
      </c>
      <c r="C12" s="66" t="s">
        <v>470</v>
      </c>
      <c r="D12" s="65"/>
      <c r="E12" s="65"/>
      <c r="F12" s="65"/>
    </row>
    <row r="13">
      <c r="A13" s="7" t="s">
        <v>473</v>
      </c>
      <c r="B13" s="66" t="s">
        <v>474</v>
      </c>
      <c r="C13" s="66"/>
      <c r="D13" s="66"/>
      <c r="E13" s="65"/>
      <c r="F13" s="65"/>
    </row>
    <row r="14">
      <c r="A14" s="7" t="s">
        <v>475</v>
      </c>
      <c r="B14" s="66" t="s">
        <v>476</v>
      </c>
      <c r="C14" s="66"/>
      <c r="D14" s="66"/>
      <c r="E14" s="65"/>
      <c r="F14" s="65"/>
    </row>
    <row r="15">
      <c r="A15" s="68" t="s">
        <v>478</v>
      </c>
      <c r="B15" s="69" t="s">
        <v>479</v>
      </c>
      <c r="C15" s="69" t="s">
        <v>480</v>
      </c>
      <c r="D15" s="66"/>
      <c r="E15" s="65"/>
      <c r="F15" s="65"/>
    </row>
    <row r="16">
      <c r="A16" s="7" t="s">
        <v>425</v>
      </c>
      <c r="B16" s="66" t="s">
        <v>481</v>
      </c>
      <c r="C16" s="66" t="s">
        <v>482</v>
      </c>
      <c r="D16" s="66" t="s">
        <v>483</v>
      </c>
      <c r="E16" s="65"/>
      <c r="F16" s="65"/>
    </row>
    <row r="17">
      <c r="A17" s="7" t="s">
        <v>217</v>
      </c>
      <c r="B17" s="66" t="s">
        <v>484</v>
      </c>
      <c r="C17" s="69" t="s">
        <v>485</v>
      </c>
      <c r="D17" s="66"/>
      <c r="E17" s="66"/>
    </row>
    <row r="18">
      <c r="A18" s="7" t="s">
        <v>486</v>
      </c>
      <c r="B18" s="66" t="s">
        <v>470</v>
      </c>
      <c r="C18" s="66" t="s">
        <v>487</v>
      </c>
      <c r="D18" s="66" t="s">
        <v>488</v>
      </c>
      <c r="E18" s="66" t="s">
        <v>489</v>
      </c>
    </row>
    <row r="19">
      <c r="A19" s="7" t="s">
        <v>490</v>
      </c>
      <c r="B19" s="66" t="s">
        <v>491</v>
      </c>
      <c r="C19" s="65"/>
      <c r="D19" s="65"/>
      <c r="E19" s="65"/>
      <c r="F19" s="7" t="s">
        <v>492</v>
      </c>
    </row>
    <row r="20">
      <c r="A20" s="7" t="s">
        <v>493</v>
      </c>
      <c r="B20" s="66" t="s">
        <v>494</v>
      </c>
      <c r="C20" s="65"/>
      <c r="D20" s="65"/>
      <c r="E20" s="65"/>
    </row>
    <row r="21">
      <c r="A21" s="7" t="s">
        <v>495</v>
      </c>
      <c r="B21" s="69" t="s">
        <v>496</v>
      </c>
      <c r="E21" s="7"/>
    </row>
    <row r="23">
      <c r="A23" s="7" t="s">
        <v>497</v>
      </c>
      <c r="B23" s="66" t="s">
        <v>470</v>
      </c>
      <c r="C23" s="66" t="s">
        <v>471</v>
      </c>
    </row>
    <row r="24">
      <c r="A24" s="7" t="s">
        <v>498</v>
      </c>
      <c r="B24" s="66" t="s">
        <v>470</v>
      </c>
      <c r="C24" s="66" t="s">
        <v>499</v>
      </c>
      <c r="D24" s="7" t="s">
        <v>500</v>
      </c>
    </row>
    <row r="25">
      <c r="A25" s="7" t="s">
        <v>502</v>
      </c>
      <c r="B25" s="66" t="s">
        <v>503</v>
      </c>
      <c r="D25" s="7" t="s">
        <v>504</v>
      </c>
    </row>
    <row r="26">
      <c r="A26" s="7" t="s">
        <v>505</v>
      </c>
      <c r="B26" s="66" t="s">
        <v>470</v>
      </c>
      <c r="C26" s="66" t="s">
        <v>506</v>
      </c>
    </row>
    <row r="27">
      <c r="A27" s="7" t="s">
        <v>507</v>
      </c>
      <c r="B27" s="66" t="s">
        <v>508</v>
      </c>
      <c r="D27" s="66"/>
      <c r="E27" s="66"/>
    </row>
    <row r="29">
      <c r="A29" s="7" t="s">
        <v>509</v>
      </c>
    </row>
    <row r="30">
      <c r="A30" s="7" t="s">
        <v>510</v>
      </c>
    </row>
    <row r="31">
      <c r="A31" s="7" t="s">
        <v>511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0"/>
  <cols>
    <col customWidth="1" min="1" max="1" width="32.71"/>
    <col customWidth="1" min="2" max="2" width="31.86"/>
    <col customWidth="1" min="3" max="4" width="27.29"/>
    <col customWidth="1" min="5" max="5" width="23.57"/>
    <col customWidth="1" min="6" max="6" width="14.43"/>
    <col customWidth="1" min="7" max="8" width="8.71"/>
    <col customWidth="1" min="9" max="10" width="23.29"/>
    <col customWidth="1" min="11" max="26" width="8.71"/>
  </cols>
  <sheetData>
    <row r="1">
      <c r="A1" s="62" t="s">
        <v>516</v>
      </c>
      <c r="B1" s="63" t="s">
        <v>517</v>
      </c>
      <c r="C1" s="63" t="s">
        <v>439</v>
      </c>
      <c r="D1" s="65"/>
      <c r="E1" s="65"/>
      <c r="I1" s="63" t="s">
        <v>518</v>
      </c>
      <c r="J1" s="63" t="s">
        <v>519</v>
      </c>
    </row>
    <row r="2">
      <c r="A2" s="7" t="s">
        <v>440</v>
      </c>
      <c r="B2" s="64">
        <v>42433.0</v>
      </c>
      <c r="C2" s="64">
        <v>42434.0</v>
      </c>
      <c r="D2" s="64">
        <v>43926.0</v>
      </c>
      <c r="E2" s="65"/>
      <c r="F2" s="65"/>
      <c r="I2" s="66"/>
      <c r="J2" s="66"/>
    </row>
    <row r="3">
      <c r="A3" s="7" t="s">
        <v>3</v>
      </c>
      <c r="B3" s="66" t="s">
        <v>521</v>
      </c>
      <c r="C3" s="66" t="s">
        <v>522</v>
      </c>
      <c r="D3" s="66"/>
      <c r="E3" s="65"/>
      <c r="F3" s="65"/>
      <c r="I3" s="66"/>
      <c r="J3" s="66"/>
    </row>
    <row r="4">
      <c r="A4" s="7" t="s">
        <v>523</v>
      </c>
      <c r="B4" s="66" t="s">
        <v>524</v>
      </c>
      <c r="C4" s="66"/>
      <c r="D4" s="66"/>
      <c r="E4" s="66"/>
      <c r="F4" s="65"/>
      <c r="I4" s="66"/>
      <c r="J4" s="66"/>
    </row>
    <row r="5">
      <c r="A5" s="7" t="s">
        <v>452</v>
      </c>
      <c r="B5" s="66" t="s">
        <v>454</v>
      </c>
      <c r="C5" s="66" t="s">
        <v>455</v>
      </c>
      <c r="D5" s="66" t="s">
        <v>456</v>
      </c>
      <c r="E5" s="66"/>
      <c r="F5" s="65"/>
      <c r="I5" s="66"/>
      <c r="J5" s="66"/>
    </row>
    <row r="6">
      <c r="A6" s="7" t="s">
        <v>98</v>
      </c>
      <c r="B6" s="66" t="s">
        <v>525</v>
      </c>
      <c r="C6" s="66" t="s">
        <v>526</v>
      </c>
      <c r="D6" s="66"/>
      <c r="E6" s="65"/>
      <c r="F6" s="65"/>
      <c r="I6" s="66"/>
      <c r="J6" s="66"/>
    </row>
    <row r="7">
      <c r="A7" s="7" t="s">
        <v>461</v>
      </c>
      <c r="B7" s="66" t="s">
        <v>462</v>
      </c>
      <c r="C7" s="66" t="s">
        <v>463</v>
      </c>
      <c r="D7" s="65"/>
      <c r="E7" s="65"/>
      <c r="F7" s="65"/>
      <c r="I7" s="66" t="s">
        <v>528</v>
      </c>
      <c r="J7" s="66" t="s">
        <v>528</v>
      </c>
    </row>
    <row r="8">
      <c r="A8" s="7" t="s">
        <v>464</v>
      </c>
      <c r="B8" s="66" t="s">
        <v>465</v>
      </c>
      <c r="C8" s="66"/>
      <c r="D8" s="65"/>
      <c r="E8" s="65"/>
      <c r="F8" s="65"/>
      <c r="I8" s="66"/>
      <c r="J8" s="66"/>
    </row>
    <row r="9">
      <c r="A9" s="68" t="s">
        <v>467</v>
      </c>
      <c r="B9" s="66" t="s">
        <v>529</v>
      </c>
      <c r="C9" s="66"/>
      <c r="D9" s="65"/>
      <c r="E9" s="65"/>
      <c r="F9" s="65"/>
      <c r="I9" s="66" t="s">
        <v>530</v>
      </c>
      <c r="J9" s="66" t="s">
        <v>528</v>
      </c>
    </row>
    <row r="10">
      <c r="A10" s="68" t="s">
        <v>468</v>
      </c>
      <c r="B10" s="66" t="s">
        <v>466</v>
      </c>
      <c r="C10" s="65"/>
      <c r="D10" s="65"/>
      <c r="E10" s="65"/>
      <c r="F10" s="65"/>
      <c r="I10" s="66" t="s">
        <v>465</v>
      </c>
      <c r="J10" s="66" t="s">
        <v>465</v>
      </c>
    </row>
    <row r="11">
      <c r="D11" s="65"/>
      <c r="E11" s="65"/>
      <c r="F11" s="65"/>
      <c r="I11" s="66"/>
      <c r="J11" s="66"/>
    </row>
    <row r="12">
      <c r="A12" s="7" t="s">
        <v>531</v>
      </c>
      <c r="B12" s="66" t="s">
        <v>470</v>
      </c>
      <c r="C12" s="66" t="s">
        <v>471</v>
      </c>
      <c r="D12" s="65"/>
      <c r="E12" s="65"/>
      <c r="F12" s="65"/>
      <c r="I12" s="66"/>
      <c r="J12" s="66"/>
    </row>
    <row r="13">
      <c r="A13" s="7" t="s">
        <v>473</v>
      </c>
      <c r="B13" s="66" t="s">
        <v>474</v>
      </c>
      <c r="C13" s="66"/>
      <c r="F13" s="65"/>
      <c r="I13" s="66"/>
      <c r="J13" s="66"/>
    </row>
    <row r="14">
      <c r="A14" s="7" t="s">
        <v>533</v>
      </c>
      <c r="B14" s="66" t="s">
        <v>534</v>
      </c>
      <c r="C14" s="66" t="s">
        <v>535</v>
      </c>
      <c r="D14" s="66" t="s">
        <v>536</v>
      </c>
      <c r="E14" s="66" t="s">
        <v>537</v>
      </c>
      <c r="F14" s="65"/>
      <c r="I14" s="66"/>
      <c r="J14" s="66"/>
    </row>
    <row r="15">
      <c r="A15" s="68" t="s">
        <v>478</v>
      </c>
      <c r="B15" s="71" t="s">
        <v>538</v>
      </c>
      <c r="C15" s="71"/>
      <c r="D15" s="66"/>
      <c r="E15" s="65"/>
      <c r="F15" s="65"/>
      <c r="I15" s="66"/>
      <c r="J15" s="66"/>
    </row>
    <row r="16">
      <c r="A16" s="7" t="s">
        <v>425</v>
      </c>
      <c r="B16" s="66" t="s">
        <v>539</v>
      </c>
      <c r="C16" s="66" t="s">
        <v>482</v>
      </c>
      <c r="D16" s="66" t="s">
        <v>483</v>
      </c>
      <c r="E16" s="65"/>
      <c r="F16" s="65"/>
      <c r="I16" s="66" t="s">
        <v>540</v>
      </c>
      <c r="J16" s="66" t="s">
        <v>540</v>
      </c>
    </row>
    <row r="17">
      <c r="A17" s="7" t="s">
        <v>217</v>
      </c>
      <c r="B17" s="71" t="s">
        <v>485</v>
      </c>
      <c r="C17" s="71" t="s">
        <v>484</v>
      </c>
      <c r="D17" s="66"/>
      <c r="E17" s="66"/>
      <c r="I17" s="66"/>
      <c r="J17" s="66"/>
    </row>
    <row r="18">
      <c r="A18" s="7" t="s">
        <v>486</v>
      </c>
      <c r="B18" s="66" t="s">
        <v>470</v>
      </c>
      <c r="C18" s="66" t="s">
        <v>487</v>
      </c>
      <c r="D18" s="66" t="s">
        <v>488</v>
      </c>
      <c r="E18" s="66" t="s">
        <v>489</v>
      </c>
      <c r="F18" s="66" t="s">
        <v>541</v>
      </c>
      <c r="I18" s="66"/>
      <c r="J18" s="66"/>
    </row>
    <row r="19">
      <c r="A19" s="7" t="s">
        <v>490</v>
      </c>
      <c r="B19" s="66" t="s">
        <v>491</v>
      </c>
      <c r="C19" s="66" t="s">
        <v>542</v>
      </c>
      <c r="E19" s="65"/>
      <c r="I19" s="66"/>
      <c r="J19" s="66"/>
    </row>
    <row r="20">
      <c r="A20" s="7" t="s">
        <v>544</v>
      </c>
      <c r="B20" s="66" t="s">
        <v>494</v>
      </c>
      <c r="C20" s="65"/>
      <c r="D20" s="65"/>
      <c r="E20" s="65"/>
      <c r="I20" s="66"/>
      <c r="J20" s="66"/>
    </row>
    <row r="21">
      <c r="A21" s="7" t="s">
        <v>495</v>
      </c>
      <c r="B21" s="69" t="s">
        <v>496</v>
      </c>
      <c r="E21" s="7"/>
      <c r="I21" s="66"/>
      <c r="J21" s="66"/>
    </row>
    <row r="22">
      <c r="I22" s="66"/>
      <c r="J22" s="66"/>
    </row>
    <row r="23">
      <c r="A23" s="7" t="s">
        <v>545</v>
      </c>
      <c r="B23" s="66" t="s">
        <v>470</v>
      </c>
      <c r="C23" s="66" t="s">
        <v>471</v>
      </c>
      <c r="I23" s="66"/>
      <c r="J23" s="66"/>
    </row>
    <row r="24">
      <c r="A24" s="7" t="s">
        <v>469</v>
      </c>
      <c r="B24" s="66" t="s">
        <v>470</v>
      </c>
      <c r="C24" s="66" t="s">
        <v>471</v>
      </c>
      <c r="I24" s="66"/>
      <c r="J24" s="66"/>
    </row>
    <row r="25">
      <c r="A25" s="7" t="s">
        <v>505</v>
      </c>
      <c r="B25" s="66" t="s">
        <v>470</v>
      </c>
      <c r="C25" s="66" t="s">
        <v>506</v>
      </c>
      <c r="I25" s="66"/>
      <c r="J25" s="66"/>
    </row>
    <row r="26">
      <c r="A26" s="7" t="s">
        <v>546</v>
      </c>
      <c r="B26" s="66" t="s">
        <v>470</v>
      </c>
      <c r="C26" s="66" t="s">
        <v>547</v>
      </c>
      <c r="I26" s="66" t="s">
        <v>548</v>
      </c>
      <c r="J26" s="66" t="s">
        <v>548</v>
      </c>
    </row>
    <row r="27">
      <c r="I27" s="66"/>
      <c r="J27" s="66"/>
    </row>
    <row r="28">
      <c r="I28" s="66"/>
      <c r="J28" s="66"/>
    </row>
    <row r="29">
      <c r="A29" s="7" t="s">
        <v>549</v>
      </c>
      <c r="I29" s="66"/>
      <c r="J29" s="66"/>
    </row>
    <row r="30">
      <c r="A30" s="7" t="s">
        <v>551</v>
      </c>
      <c r="I30" s="66"/>
      <c r="J30" s="66"/>
    </row>
    <row r="31">
      <c r="I31" s="66"/>
      <c r="J31" s="66"/>
    </row>
    <row r="32">
      <c r="I32" s="66"/>
      <c r="J32" s="66"/>
    </row>
    <row r="33">
      <c r="I33" s="66"/>
      <c r="J33" s="66"/>
    </row>
    <row r="34">
      <c r="I34" s="66"/>
      <c r="J34" s="66"/>
    </row>
    <row r="35">
      <c r="I35" s="66"/>
      <c r="J35" s="6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2.71"/>
    <col customWidth="1" min="2" max="2" width="51.0"/>
    <col customWidth="1" min="3" max="3" width="41.29"/>
    <col customWidth="1" min="4" max="4" width="21.86"/>
    <col customWidth="1" min="5" max="5" width="22.14"/>
    <col customWidth="1" min="6" max="26" width="8.71"/>
  </cols>
  <sheetData>
    <row r="1">
      <c r="A1" s="62" t="s">
        <v>552</v>
      </c>
      <c r="B1" s="63" t="s">
        <v>438</v>
      </c>
      <c r="C1" s="63" t="s">
        <v>439</v>
      </c>
      <c r="D1" s="65"/>
      <c r="E1" s="65"/>
    </row>
    <row r="2">
      <c r="A2" s="7" t="s">
        <v>440</v>
      </c>
      <c r="B2" s="64">
        <v>42434.0</v>
      </c>
      <c r="C2" s="64">
        <v>42433.0</v>
      </c>
      <c r="D2" s="64">
        <v>42432.0</v>
      </c>
      <c r="E2" s="65"/>
      <c r="F2" s="65"/>
    </row>
    <row r="3">
      <c r="A3" s="7" t="s">
        <v>3</v>
      </c>
      <c r="B3" s="66" t="s">
        <v>553</v>
      </c>
      <c r="C3" s="66" t="s">
        <v>554</v>
      </c>
      <c r="D3" s="66" t="s">
        <v>555</v>
      </c>
      <c r="E3" s="66" t="s">
        <v>556</v>
      </c>
      <c r="F3" s="65"/>
    </row>
    <row r="4">
      <c r="A4" s="7" t="s">
        <v>557</v>
      </c>
      <c r="B4" s="66" t="s">
        <v>558</v>
      </c>
      <c r="C4" s="66"/>
      <c r="D4" s="66"/>
      <c r="E4" s="66"/>
      <c r="F4" s="65"/>
    </row>
    <row r="5">
      <c r="A5" s="7" t="s">
        <v>452</v>
      </c>
      <c r="B5" s="66" t="s">
        <v>559</v>
      </c>
      <c r="C5" s="66"/>
      <c r="D5" s="66"/>
      <c r="F5" s="65"/>
    </row>
    <row r="6">
      <c r="A6" s="7" t="s">
        <v>98</v>
      </c>
      <c r="B6" s="66" t="s">
        <v>460</v>
      </c>
      <c r="C6" s="66"/>
      <c r="D6" s="66"/>
      <c r="E6" s="65"/>
      <c r="F6" s="65"/>
    </row>
    <row r="7">
      <c r="A7" s="7" t="s">
        <v>461</v>
      </c>
      <c r="B7" s="66" t="s">
        <v>463</v>
      </c>
      <c r="D7" s="65"/>
      <c r="E7" s="65"/>
      <c r="F7" s="65"/>
    </row>
    <row r="8">
      <c r="A8" s="7" t="s">
        <v>464</v>
      </c>
      <c r="B8" s="66" t="s">
        <v>561</v>
      </c>
      <c r="C8" s="66" t="s">
        <v>562</v>
      </c>
      <c r="D8" s="65"/>
      <c r="E8" s="65"/>
      <c r="F8" s="65"/>
    </row>
    <row r="9">
      <c r="A9" s="68" t="s">
        <v>467</v>
      </c>
      <c r="B9" s="66" t="s">
        <v>463</v>
      </c>
      <c r="C9" s="66"/>
      <c r="D9" s="65"/>
      <c r="E9" s="65"/>
      <c r="F9" s="65"/>
    </row>
    <row r="10">
      <c r="A10" s="68" t="s">
        <v>468</v>
      </c>
      <c r="B10" s="66" t="s">
        <v>561</v>
      </c>
      <c r="C10" s="65"/>
      <c r="D10" s="65"/>
      <c r="E10" s="65"/>
      <c r="F10" s="65"/>
    </row>
    <row r="11">
      <c r="A11" s="7" t="s">
        <v>469</v>
      </c>
      <c r="B11" s="66" t="s">
        <v>563</v>
      </c>
      <c r="C11" s="66"/>
      <c r="D11" s="65"/>
      <c r="E11" s="65"/>
      <c r="F11" s="65"/>
    </row>
    <row r="12">
      <c r="A12" s="7" t="s">
        <v>564</v>
      </c>
      <c r="B12" s="66" t="s">
        <v>565</v>
      </c>
      <c r="F12" s="65"/>
    </row>
    <row r="13">
      <c r="A13" s="7" t="s">
        <v>566</v>
      </c>
      <c r="B13" s="66" t="s">
        <v>470</v>
      </c>
      <c r="C13" s="66" t="s">
        <v>471</v>
      </c>
      <c r="D13" s="65"/>
      <c r="E13" s="65"/>
      <c r="F13" s="65"/>
    </row>
    <row r="14">
      <c r="A14" s="7" t="s">
        <v>473</v>
      </c>
      <c r="B14" s="66" t="s">
        <v>567</v>
      </c>
      <c r="C14" s="66"/>
      <c r="D14" s="66"/>
      <c r="E14" s="65"/>
      <c r="F14" s="65"/>
    </row>
    <row r="15">
      <c r="A15" s="7" t="s">
        <v>475</v>
      </c>
      <c r="B15" s="66" t="s">
        <v>476</v>
      </c>
      <c r="C15" s="66"/>
      <c r="D15" s="66"/>
      <c r="E15" s="65"/>
      <c r="F15" s="65"/>
    </row>
    <row r="16">
      <c r="A16" s="7" t="s">
        <v>568</v>
      </c>
      <c r="B16" s="66" t="s">
        <v>569</v>
      </c>
      <c r="C16" s="66" t="s">
        <v>570</v>
      </c>
      <c r="D16" s="66"/>
      <c r="E16" s="65"/>
      <c r="F16" s="65"/>
    </row>
    <row r="17">
      <c r="A17" s="7" t="s">
        <v>571</v>
      </c>
      <c r="B17" s="66" t="s">
        <v>470</v>
      </c>
      <c r="C17" s="66" t="s">
        <v>471</v>
      </c>
    </row>
    <row r="18">
      <c r="A18" s="7" t="s">
        <v>425</v>
      </c>
      <c r="B18" s="66" t="s">
        <v>481</v>
      </c>
      <c r="C18" s="66" t="s">
        <v>482</v>
      </c>
      <c r="D18" s="66" t="s">
        <v>483</v>
      </c>
      <c r="E18" s="65"/>
    </row>
    <row r="19">
      <c r="A19" s="7" t="s">
        <v>217</v>
      </c>
      <c r="B19" s="66" t="s">
        <v>573</v>
      </c>
      <c r="C19" s="66"/>
      <c r="D19" s="66"/>
      <c r="E19" s="66"/>
    </row>
    <row r="20">
      <c r="A20" s="7" t="s">
        <v>486</v>
      </c>
      <c r="B20" s="66" t="s">
        <v>470</v>
      </c>
      <c r="C20" s="66" t="s">
        <v>487</v>
      </c>
      <c r="D20" s="66" t="s">
        <v>488</v>
      </c>
      <c r="E20" s="66" t="s">
        <v>574</v>
      </c>
    </row>
    <row r="21">
      <c r="A21" s="7" t="s">
        <v>490</v>
      </c>
      <c r="B21" s="66" t="s">
        <v>575</v>
      </c>
      <c r="C21" s="65"/>
      <c r="D21" s="65"/>
      <c r="E21" s="65"/>
    </row>
    <row r="22">
      <c r="A22" s="7" t="s">
        <v>576</v>
      </c>
      <c r="B22" s="7" t="s">
        <v>577</v>
      </c>
      <c r="C22" s="67" t="s">
        <v>578</v>
      </c>
      <c r="D22" s="65"/>
      <c r="E22" s="65"/>
    </row>
    <row r="23">
      <c r="A23" s="7" t="s">
        <v>495</v>
      </c>
      <c r="B23" s="66" t="s">
        <v>579</v>
      </c>
      <c r="C23" s="72" t="s">
        <v>580</v>
      </c>
      <c r="E23" s="7"/>
    </row>
    <row r="25">
      <c r="A25" s="7" t="s">
        <v>545</v>
      </c>
      <c r="B25" s="66" t="s">
        <v>470</v>
      </c>
      <c r="C25" s="66" t="s">
        <v>471</v>
      </c>
    </row>
    <row r="26">
      <c r="A26" s="7" t="s">
        <v>581</v>
      </c>
      <c r="B26" s="66" t="s">
        <v>470</v>
      </c>
      <c r="C26" s="66" t="s">
        <v>582</v>
      </c>
    </row>
    <row r="27">
      <c r="A27" s="7" t="s">
        <v>505</v>
      </c>
      <c r="B27" s="66" t="s">
        <v>470</v>
      </c>
      <c r="C27" s="66" t="s">
        <v>506</v>
      </c>
    </row>
    <row r="28">
      <c r="A28" s="7" t="s">
        <v>583</v>
      </c>
      <c r="B28" s="66" t="s">
        <v>470</v>
      </c>
      <c r="C28" s="66" t="s">
        <v>471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7.29" defaultRowHeight="15.0"/>
  <cols>
    <col customWidth="1" min="1" max="1" width="32.71"/>
    <col customWidth="1" min="2" max="2" width="23.86"/>
    <col customWidth="1" min="3" max="3" width="24.14"/>
    <col customWidth="1" min="4" max="4" width="21.86"/>
    <col customWidth="1" min="5" max="5" width="22.14"/>
    <col customWidth="1" min="6" max="26" width="8.71"/>
  </cols>
  <sheetData>
    <row r="1">
      <c r="A1" s="62" t="s">
        <v>584</v>
      </c>
      <c r="B1" s="63" t="s">
        <v>438</v>
      </c>
      <c r="C1" s="63" t="s">
        <v>439</v>
      </c>
      <c r="D1" s="65"/>
      <c r="E1" s="65"/>
    </row>
    <row r="2">
      <c r="A2" s="7" t="s">
        <v>440</v>
      </c>
      <c r="B2" s="64">
        <v>42434.0</v>
      </c>
      <c r="C2" s="64">
        <v>42433.0</v>
      </c>
      <c r="D2" s="64">
        <v>42432.0</v>
      </c>
      <c r="E2" s="65"/>
      <c r="F2" s="65"/>
    </row>
    <row r="3">
      <c r="A3" s="7" t="s">
        <v>3</v>
      </c>
      <c r="B3" s="71" t="s">
        <v>585</v>
      </c>
      <c r="C3" s="71" t="s">
        <v>586</v>
      </c>
      <c r="D3" s="71" t="s">
        <v>587</v>
      </c>
      <c r="E3" s="65"/>
      <c r="F3" s="65"/>
    </row>
    <row r="4">
      <c r="A4" s="7" t="s">
        <v>452</v>
      </c>
      <c r="B4" s="66" t="s">
        <v>588</v>
      </c>
      <c r="C4" s="66"/>
      <c r="D4" s="66"/>
      <c r="E4" s="66"/>
      <c r="F4" s="65"/>
    </row>
    <row r="5">
      <c r="A5" s="7" t="s">
        <v>98</v>
      </c>
      <c r="B5" s="66" t="s">
        <v>589</v>
      </c>
      <c r="C5" s="66"/>
      <c r="D5" s="66"/>
      <c r="E5" s="65"/>
      <c r="F5" s="65"/>
    </row>
    <row r="6">
      <c r="A6" s="7" t="s">
        <v>461</v>
      </c>
      <c r="B6" s="66" t="s">
        <v>590</v>
      </c>
      <c r="C6" s="66" t="s">
        <v>591</v>
      </c>
      <c r="D6" s="65"/>
      <c r="E6" s="65"/>
      <c r="F6" s="65"/>
    </row>
    <row r="7">
      <c r="A7" s="68" t="s">
        <v>467</v>
      </c>
      <c r="B7" s="66" t="s">
        <v>463</v>
      </c>
      <c r="C7" s="66"/>
      <c r="D7" s="65"/>
      <c r="E7" s="65"/>
      <c r="F7" s="65"/>
    </row>
    <row r="8">
      <c r="A8" s="68" t="s">
        <v>468</v>
      </c>
      <c r="B8" s="66" t="s">
        <v>466</v>
      </c>
      <c r="C8" s="65"/>
      <c r="D8" s="65"/>
      <c r="E8" s="65"/>
      <c r="F8" s="65"/>
    </row>
    <row r="9">
      <c r="A9" s="7" t="s">
        <v>469</v>
      </c>
      <c r="B9" s="66" t="s">
        <v>470</v>
      </c>
      <c r="C9" s="66" t="s">
        <v>471</v>
      </c>
      <c r="D9" s="65"/>
      <c r="E9" s="65"/>
      <c r="F9" s="65"/>
    </row>
    <row r="10">
      <c r="A10" s="7" t="s">
        <v>472</v>
      </c>
      <c r="B10" s="66" t="s">
        <v>471</v>
      </c>
      <c r="C10" s="66" t="s">
        <v>470</v>
      </c>
      <c r="D10" s="65"/>
      <c r="E10" s="65"/>
      <c r="F10" s="65"/>
    </row>
    <row r="11">
      <c r="A11" s="7" t="s">
        <v>473</v>
      </c>
      <c r="B11" s="66" t="s">
        <v>474</v>
      </c>
      <c r="C11" s="66"/>
      <c r="D11" s="66"/>
      <c r="E11" s="65"/>
      <c r="F11" s="65"/>
    </row>
    <row r="12">
      <c r="A12" s="7" t="s">
        <v>475</v>
      </c>
      <c r="B12" s="66" t="s">
        <v>476</v>
      </c>
      <c r="C12" s="66"/>
      <c r="D12" s="66"/>
      <c r="E12" s="65"/>
      <c r="F12" s="65"/>
    </row>
    <row r="13">
      <c r="A13" s="68" t="s">
        <v>478</v>
      </c>
      <c r="B13" s="69" t="s">
        <v>479</v>
      </c>
      <c r="C13" s="69" t="s">
        <v>480</v>
      </c>
      <c r="D13" s="66"/>
      <c r="E13" s="65"/>
      <c r="F13" s="65"/>
    </row>
    <row r="14">
      <c r="A14" s="7" t="s">
        <v>425</v>
      </c>
      <c r="B14" s="66" t="s">
        <v>539</v>
      </c>
      <c r="C14" s="66" t="s">
        <v>482</v>
      </c>
      <c r="D14" s="66" t="s">
        <v>483</v>
      </c>
      <c r="E14" s="65"/>
      <c r="F14" s="65"/>
    </row>
    <row r="15">
      <c r="A15" s="7" t="s">
        <v>217</v>
      </c>
      <c r="B15" s="71" t="s">
        <v>485</v>
      </c>
      <c r="C15" s="71" t="s">
        <v>484</v>
      </c>
      <c r="D15" s="66"/>
      <c r="E15" s="66"/>
    </row>
    <row r="16">
      <c r="A16" s="7" t="s">
        <v>486</v>
      </c>
      <c r="B16" s="66" t="s">
        <v>470</v>
      </c>
      <c r="C16" s="66" t="s">
        <v>487</v>
      </c>
      <c r="D16" s="66" t="s">
        <v>488</v>
      </c>
      <c r="E16" s="66" t="s">
        <v>489</v>
      </c>
    </row>
    <row r="17">
      <c r="A17" s="7" t="s">
        <v>490</v>
      </c>
      <c r="B17" s="66" t="s">
        <v>592</v>
      </c>
      <c r="C17" s="65"/>
      <c r="D17" s="65"/>
      <c r="E17" s="65"/>
    </row>
    <row r="18">
      <c r="A18" s="73" t="s">
        <v>493</v>
      </c>
      <c r="B18" s="71" t="s">
        <v>494</v>
      </c>
      <c r="C18" s="65"/>
      <c r="D18" s="65"/>
      <c r="E18" s="65"/>
    </row>
    <row r="19">
      <c r="A19" s="7" t="s">
        <v>495</v>
      </c>
      <c r="B19" s="69" t="s">
        <v>496</v>
      </c>
      <c r="E19" s="7"/>
    </row>
    <row r="21">
      <c r="A21" s="7" t="s">
        <v>545</v>
      </c>
      <c r="B21" s="66" t="s">
        <v>470</v>
      </c>
      <c r="C21" s="66" t="s">
        <v>471</v>
      </c>
    </row>
    <row r="22">
      <c r="A22" s="7" t="s">
        <v>581</v>
      </c>
      <c r="B22" s="66" t="s">
        <v>470</v>
      </c>
      <c r="C22" s="66"/>
    </row>
    <row r="23">
      <c r="A23" s="7" t="s">
        <v>546</v>
      </c>
      <c r="B23" s="66" t="s">
        <v>470</v>
      </c>
      <c r="C23" s="66" t="s">
        <v>503</v>
      </c>
    </row>
    <row r="24">
      <c r="A24" s="7"/>
      <c r="B24" s="66"/>
      <c r="C24" s="6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2.0"/>
    <col customWidth="1" min="2" max="2" width="33.57"/>
    <col customWidth="1" min="3" max="3" width="24.71"/>
  </cols>
  <sheetData>
    <row r="1">
      <c r="A1" s="62" t="s">
        <v>593</v>
      </c>
      <c r="B1" s="63" t="s">
        <v>438</v>
      </c>
      <c r="C1" s="63" t="s">
        <v>439</v>
      </c>
      <c r="D1" s="65"/>
    </row>
    <row r="2">
      <c r="A2" s="7" t="s">
        <v>440</v>
      </c>
      <c r="B2" s="64">
        <v>43895.0</v>
      </c>
      <c r="C2" s="64">
        <v>43894.0</v>
      </c>
      <c r="D2" s="64"/>
    </row>
    <row r="3">
      <c r="A3" s="7" t="s">
        <v>594</v>
      </c>
      <c r="B3" s="66" t="s">
        <v>595</v>
      </c>
      <c r="C3" s="66" t="s">
        <v>595</v>
      </c>
      <c r="D3" s="66"/>
    </row>
    <row r="4">
      <c r="A4" s="7" t="s">
        <v>3</v>
      </c>
      <c r="B4" s="71" t="s">
        <v>586</v>
      </c>
      <c r="C4" s="69" t="s">
        <v>596</v>
      </c>
      <c r="D4" s="69" t="s">
        <v>587</v>
      </c>
      <c r="E4" s="69" t="s">
        <v>597</v>
      </c>
    </row>
    <row r="5">
      <c r="A5" s="7" t="s">
        <v>452</v>
      </c>
      <c r="B5" s="66" t="s">
        <v>598</v>
      </c>
      <c r="C5" s="66"/>
      <c r="D5" s="66"/>
    </row>
    <row r="6">
      <c r="A6" s="7" t="s">
        <v>98</v>
      </c>
      <c r="B6" s="66" t="s">
        <v>460</v>
      </c>
      <c r="C6" s="66" t="s">
        <v>599</v>
      </c>
      <c r="D6" s="74" t="s">
        <v>600</v>
      </c>
      <c r="F6" s="66"/>
    </row>
    <row r="7">
      <c r="A7" s="75" t="s">
        <v>467</v>
      </c>
      <c r="B7" s="66" t="s">
        <v>463</v>
      </c>
      <c r="C7" s="66"/>
      <c r="D7" s="74" t="s">
        <v>602</v>
      </c>
    </row>
    <row r="8">
      <c r="A8" s="68" t="s">
        <v>468</v>
      </c>
      <c r="B8" s="66" t="s">
        <v>466</v>
      </c>
      <c r="C8" s="66"/>
      <c r="D8" s="65"/>
    </row>
    <row r="9">
      <c r="A9" s="7" t="s">
        <v>472</v>
      </c>
      <c r="B9" s="66" t="s">
        <v>471</v>
      </c>
      <c r="C9" s="66" t="s">
        <v>470</v>
      </c>
      <c r="D9" s="65"/>
    </row>
    <row r="10">
      <c r="A10" s="7" t="s">
        <v>469</v>
      </c>
      <c r="B10" s="66" t="s">
        <v>470</v>
      </c>
      <c r="C10" s="66" t="s">
        <v>471</v>
      </c>
      <c r="D10" s="66"/>
    </row>
    <row r="11">
      <c r="A11" s="7" t="s">
        <v>473</v>
      </c>
      <c r="B11" s="66" t="s">
        <v>474</v>
      </c>
      <c r="C11" s="66"/>
      <c r="D11" s="74" t="s">
        <v>600</v>
      </c>
    </row>
    <row r="12">
      <c r="A12" s="7" t="s">
        <v>605</v>
      </c>
      <c r="B12" s="66" t="s">
        <v>607</v>
      </c>
      <c r="C12" s="66"/>
      <c r="D12" s="74" t="s">
        <v>609</v>
      </c>
    </row>
    <row r="13">
      <c r="A13" s="7" t="s">
        <v>475</v>
      </c>
      <c r="B13" s="66" t="s">
        <v>476</v>
      </c>
      <c r="C13" s="66"/>
      <c r="D13" s="66"/>
    </row>
    <row r="14">
      <c r="A14" s="68" t="s">
        <v>478</v>
      </c>
      <c r="B14" s="69" t="s">
        <v>479</v>
      </c>
      <c r="C14" s="69" t="s">
        <v>480</v>
      </c>
      <c r="D14" s="66"/>
    </row>
    <row r="15">
      <c r="A15" s="7" t="s">
        <v>425</v>
      </c>
      <c r="B15" s="66" t="s">
        <v>481</v>
      </c>
      <c r="C15" s="66"/>
      <c r="D15" s="66"/>
    </row>
    <row r="16">
      <c r="A16" s="68" t="s">
        <v>217</v>
      </c>
      <c r="B16" s="71" t="s">
        <v>484</v>
      </c>
      <c r="C16" s="71" t="s">
        <v>485</v>
      </c>
      <c r="D16" s="66"/>
    </row>
    <row r="17">
      <c r="A17" s="7" t="s">
        <v>486</v>
      </c>
      <c r="B17" s="66" t="s">
        <v>470</v>
      </c>
      <c r="C17" s="66" t="s">
        <v>489</v>
      </c>
      <c r="D17" s="66"/>
    </row>
    <row r="18">
      <c r="A18" s="7" t="s">
        <v>490</v>
      </c>
      <c r="B18" s="71" t="s">
        <v>491</v>
      </c>
      <c r="C18" s="65"/>
      <c r="D18" s="65"/>
    </row>
    <row r="19">
      <c r="A19" s="7" t="s">
        <v>493</v>
      </c>
      <c r="B19" s="71" t="s">
        <v>494</v>
      </c>
      <c r="C19" s="65"/>
      <c r="D19" s="65"/>
    </row>
    <row r="20">
      <c r="A20" s="7" t="s">
        <v>495</v>
      </c>
      <c r="B20" s="69" t="s">
        <v>496</v>
      </c>
      <c r="C20" s="66"/>
    </row>
    <row r="22">
      <c r="A22" s="7" t="s">
        <v>545</v>
      </c>
      <c r="B22" s="66" t="s">
        <v>470</v>
      </c>
      <c r="C22" s="66" t="s">
        <v>471</v>
      </c>
    </row>
    <row r="23">
      <c r="B23" s="65"/>
    </row>
    <row r="24">
      <c r="A24" s="7" t="s">
        <v>611</v>
      </c>
      <c r="B24" s="66" t="s">
        <v>612</v>
      </c>
    </row>
    <row r="25">
      <c r="A25" s="7" t="s">
        <v>613</v>
      </c>
      <c r="B25" s="66" t="s">
        <v>614</v>
      </c>
      <c r="D25" s="74" t="s">
        <v>615</v>
      </c>
    </row>
    <row r="26">
      <c r="A26" s="7" t="s">
        <v>616</v>
      </c>
      <c r="B26" s="66" t="s">
        <v>617</v>
      </c>
    </row>
    <row r="31">
      <c r="A31" s="7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7.29" defaultRowHeight="15.0"/>
  <cols>
    <col customWidth="1" min="1" max="1" width="33.0"/>
    <col customWidth="1" min="2" max="2" width="31.71"/>
    <col customWidth="1" min="3" max="3" width="22.86"/>
    <col customWidth="1" min="4" max="4" width="21.71"/>
  </cols>
  <sheetData>
    <row r="1">
      <c r="A1" s="62" t="s">
        <v>91</v>
      </c>
      <c r="B1" s="63" t="s">
        <v>438</v>
      </c>
      <c r="C1" s="63" t="s">
        <v>439</v>
      </c>
      <c r="D1" s="65"/>
      <c r="E1" s="65"/>
    </row>
    <row r="2">
      <c r="A2" s="7" t="s">
        <v>440</v>
      </c>
      <c r="B2" s="64">
        <v>42769.0</v>
      </c>
      <c r="C2" s="64"/>
      <c r="D2" s="64"/>
      <c r="E2" s="65"/>
    </row>
    <row r="3">
      <c r="A3" s="7" t="s">
        <v>594</v>
      </c>
      <c r="B3" s="66" t="s">
        <v>601</v>
      </c>
      <c r="C3" s="66"/>
      <c r="D3" s="66"/>
      <c r="E3" s="65"/>
    </row>
    <row r="4">
      <c r="A4" s="7" t="s">
        <v>3</v>
      </c>
      <c r="B4" s="71" t="s">
        <v>585</v>
      </c>
      <c r="C4" s="71" t="s">
        <v>586</v>
      </c>
      <c r="D4" s="71" t="s">
        <v>587</v>
      </c>
      <c r="E4" s="65"/>
    </row>
    <row r="5">
      <c r="A5" s="7" t="s">
        <v>452</v>
      </c>
      <c r="B5" s="69" t="s">
        <v>603</v>
      </c>
      <c r="C5" s="66"/>
      <c r="D5" s="66"/>
      <c r="E5" s="66"/>
    </row>
    <row r="6">
      <c r="A6" s="7" t="s">
        <v>98</v>
      </c>
      <c r="B6" s="76" t="s">
        <v>604</v>
      </c>
      <c r="C6" s="66"/>
      <c r="D6" s="66"/>
      <c r="E6" s="65"/>
    </row>
    <row r="7">
      <c r="A7" s="7" t="s">
        <v>606</v>
      </c>
      <c r="B7" s="66" t="s">
        <v>608</v>
      </c>
      <c r="C7" s="66"/>
      <c r="D7" s="65"/>
      <c r="E7" s="65"/>
    </row>
    <row r="8">
      <c r="A8" s="75" t="s">
        <v>467</v>
      </c>
      <c r="B8" s="66" t="s">
        <v>463</v>
      </c>
      <c r="C8" s="66"/>
      <c r="D8" s="65"/>
      <c r="E8" s="65"/>
    </row>
    <row r="9">
      <c r="A9" s="7" t="s">
        <v>472</v>
      </c>
      <c r="B9" s="66" t="s">
        <v>471</v>
      </c>
      <c r="C9" s="66" t="s">
        <v>470</v>
      </c>
      <c r="D9" s="65"/>
      <c r="E9" s="65"/>
    </row>
    <row r="10">
      <c r="A10" s="7" t="s">
        <v>473</v>
      </c>
      <c r="B10" s="66" t="s">
        <v>474</v>
      </c>
      <c r="C10" s="66"/>
      <c r="D10" s="66"/>
      <c r="E10" s="65"/>
    </row>
    <row r="11">
      <c r="A11" s="7" t="s">
        <v>475</v>
      </c>
      <c r="B11" s="77" t="s">
        <v>610</v>
      </c>
      <c r="C11" s="66"/>
      <c r="D11" s="66"/>
      <c r="E11" s="65"/>
    </row>
    <row r="12">
      <c r="A12" s="68" t="s">
        <v>478</v>
      </c>
      <c r="B12" s="69" t="s">
        <v>479</v>
      </c>
      <c r="C12" s="69" t="s">
        <v>480</v>
      </c>
      <c r="D12" s="66"/>
      <c r="E12" s="65"/>
    </row>
    <row r="13">
      <c r="A13" s="7" t="s">
        <v>425</v>
      </c>
      <c r="B13" s="66" t="s">
        <v>481</v>
      </c>
      <c r="C13" s="66"/>
      <c r="D13" s="66"/>
      <c r="E13" s="65"/>
    </row>
    <row r="14">
      <c r="A14" s="68" t="s">
        <v>217</v>
      </c>
      <c r="B14" s="71" t="s">
        <v>484</v>
      </c>
      <c r="C14" s="71" t="s">
        <v>485</v>
      </c>
      <c r="D14" s="66"/>
      <c r="E14" s="66"/>
    </row>
    <row r="15">
      <c r="A15" s="7" t="s">
        <v>486</v>
      </c>
      <c r="B15" s="66" t="s">
        <v>470</v>
      </c>
      <c r="C15" s="66" t="s">
        <v>489</v>
      </c>
      <c r="D15" s="66"/>
      <c r="E15" s="66"/>
    </row>
    <row r="16">
      <c r="A16" s="7" t="s">
        <v>490</v>
      </c>
      <c r="B16" s="71" t="s">
        <v>491</v>
      </c>
      <c r="C16" s="65"/>
      <c r="D16" s="65"/>
      <c r="E16" s="65"/>
    </row>
    <row r="17">
      <c r="A17" s="7" t="s">
        <v>493</v>
      </c>
      <c r="B17" s="71" t="s">
        <v>494</v>
      </c>
      <c r="C17" s="65"/>
      <c r="D17" s="65"/>
      <c r="E17" s="65"/>
    </row>
    <row r="18">
      <c r="A18" s="7" t="s">
        <v>495</v>
      </c>
      <c r="B18" s="69" t="s">
        <v>496</v>
      </c>
      <c r="C18" s="66"/>
      <c r="E18" s="7"/>
    </row>
    <row r="20">
      <c r="A20" s="7" t="s">
        <v>545</v>
      </c>
      <c r="B20" s="66" t="s">
        <v>470</v>
      </c>
      <c r="C20" s="66" t="s">
        <v>471</v>
      </c>
    </row>
    <row r="21">
      <c r="A21" s="7" t="s">
        <v>618</v>
      </c>
      <c r="B21" s="66" t="s">
        <v>470</v>
      </c>
      <c r="C21" s="66" t="s">
        <v>471</v>
      </c>
    </row>
    <row r="22">
      <c r="A22" s="7" t="s">
        <v>489</v>
      </c>
      <c r="B22" s="66" t="s">
        <v>619</v>
      </c>
      <c r="C22" s="66" t="s">
        <v>471</v>
      </c>
    </row>
    <row r="23">
      <c r="B23" s="65"/>
    </row>
    <row r="24">
      <c r="B24" s="65"/>
    </row>
    <row r="25">
      <c r="B25" s="65"/>
    </row>
    <row r="26">
      <c r="A26" s="7" t="s">
        <v>620</v>
      </c>
      <c r="B26" s="65"/>
    </row>
    <row r="27">
      <c r="A27" s="7" t="s">
        <v>621</v>
      </c>
      <c r="B27" s="65"/>
    </row>
    <row r="28">
      <c r="A28" s="7" t="s">
        <v>622</v>
      </c>
      <c r="B28" s="65"/>
    </row>
    <row r="29">
      <c r="B29" s="65"/>
    </row>
    <row r="30">
      <c r="B30" s="65"/>
    </row>
    <row r="31">
      <c r="B31" s="65"/>
    </row>
    <row r="32">
      <c r="B32" s="65"/>
    </row>
    <row r="33">
      <c r="B33" s="65"/>
    </row>
    <row r="34">
      <c r="B34" s="65"/>
    </row>
    <row r="35">
      <c r="B35" s="65"/>
    </row>
    <row r="36">
      <c r="B36" s="65"/>
    </row>
    <row r="37">
      <c r="B37" s="65"/>
    </row>
    <row r="38">
      <c r="B38" s="65"/>
    </row>
    <row r="39">
      <c r="B39" s="65"/>
    </row>
    <row r="40">
      <c r="B40" s="65"/>
    </row>
    <row r="41">
      <c r="B41" s="65"/>
    </row>
    <row r="42">
      <c r="B42" s="65"/>
    </row>
    <row r="43">
      <c r="B43" s="65"/>
    </row>
    <row r="44">
      <c r="B44" s="65"/>
    </row>
    <row r="45">
      <c r="B45" s="65"/>
    </row>
    <row r="46">
      <c r="B46" s="65"/>
    </row>
    <row r="47">
      <c r="B47" s="65"/>
    </row>
    <row r="48">
      <c r="B48" s="65"/>
    </row>
    <row r="49">
      <c r="B49" s="65"/>
    </row>
    <row r="50">
      <c r="B50" s="65"/>
    </row>
    <row r="51">
      <c r="B51" s="65"/>
    </row>
    <row r="52">
      <c r="B52" s="65"/>
    </row>
    <row r="53">
      <c r="B53" s="65"/>
    </row>
    <row r="54">
      <c r="B54" s="65"/>
    </row>
    <row r="55">
      <c r="B55" s="65"/>
    </row>
    <row r="56">
      <c r="B56" s="65"/>
    </row>
    <row r="57">
      <c r="B57" s="65"/>
    </row>
    <row r="58">
      <c r="B58" s="65"/>
    </row>
    <row r="59">
      <c r="B59" s="65"/>
    </row>
    <row r="60">
      <c r="B60" s="65"/>
    </row>
    <row r="61">
      <c r="B61" s="65"/>
    </row>
    <row r="62">
      <c r="B62" s="65"/>
    </row>
    <row r="63">
      <c r="B63" s="65"/>
    </row>
    <row r="64">
      <c r="B64" s="65"/>
    </row>
    <row r="65">
      <c r="B65" s="65"/>
    </row>
    <row r="66">
      <c r="B66" s="65"/>
    </row>
    <row r="67">
      <c r="B67" s="65"/>
    </row>
    <row r="68">
      <c r="B68" s="65"/>
    </row>
    <row r="69">
      <c r="B69" s="65"/>
    </row>
    <row r="70">
      <c r="B70" s="65"/>
    </row>
    <row r="71">
      <c r="B71" s="65"/>
    </row>
    <row r="72">
      <c r="B72" s="65"/>
    </row>
    <row r="73">
      <c r="B73" s="65"/>
    </row>
    <row r="74">
      <c r="B74" s="65"/>
    </row>
    <row r="75">
      <c r="B75" s="65"/>
    </row>
    <row r="76">
      <c r="B76" s="65"/>
    </row>
    <row r="77">
      <c r="B77" s="65"/>
    </row>
    <row r="78">
      <c r="B78" s="65"/>
    </row>
    <row r="79">
      <c r="B79" s="65"/>
    </row>
    <row r="80">
      <c r="B80" s="65"/>
    </row>
    <row r="81">
      <c r="B81" s="65"/>
    </row>
    <row r="82">
      <c r="B82" s="65"/>
    </row>
    <row r="83">
      <c r="B83" s="65"/>
    </row>
    <row r="84">
      <c r="B84" s="65"/>
    </row>
    <row r="85">
      <c r="B85" s="65"/>
    </row>
    <row r="86">
      <c r="B86" s="65"/>
    </row>
    <row r="87">
      <c r="B87" s="65"/>
    </row>
    <row r="88">
      <c r="B88" s="65"/>
    </row>
    <row r="89">
      <c r="B89" s="65"/>
    </row>
    <row r="90">
      <c r="B90" s="65"/>
    </row>
    <row r="91">
      <c r="B91" s="65"/>
    </row>
    <row r="92">
      <c r="B92" s="65"/>
    </row>
    <row r="93">
      <c r="B93" s="65"/>
    </row>
    <row r="94">
      <c r="B94" s="65"/>
    </row>
    <row r="95">
      <c r="B95" s="65"/>
    </row>
    <row r="96">
      <c r="B96" s="65"/>
    </row>
    <row r="97">
      <c r="B97" s="65"/>
    </row>
    <row r="98">
      <c r="B98" s="65"/>
    </row>
    <row r="99">
      <c r="B99" s="65"/>
    </row>
    <row r="100">
      <c r="B100" s="65"/>
    </row>
    <row r="101">
      <c r="B101" s="65"/>
    </row>
    <row r="102">
      <c r="B102" s="65"/>
    </row>
    <row r="103">
      <c r="B103" s="65"/>
    </row>
    <row r="104">
      <c r="B104" s="65"/>
    </row>
    <row r="105">
      <c r="B105" s="65"/>
    </row>
    <row r="106">
      <c r="B106" s="65"/>
    </row>
    <row r="107">
      <c r="B107" s="65"/>
    </row>
    <row r="108">
      <c r="B108" s="65"/>
    </row>
    <row r="109">
      <c r="B109" s="65"/>
    </row>
    <row r="110">
      <c r="B110" s="65"/>
    </row>
    <row r="111">
      <c r="B111" s="65"/>
    </row>
    <row r="112">
      <c r="B112" s="65"/>
    </row>
    <row r="113">
      <c r="B113" s="65"/>
    </row>
    <row r="114">
      <c r="B114" s="65"/>
    </row>
    <row r="115">
      <c r="B115" s="65"/>
    </row>
    <row r="116">
      <c r="B116" s="65"/>
    </row>
    <row r="117">
      <c r="B117" s="65"/>
    </row>
    <row r="118">
      <c r="B118" s="65"/>
    </row>
    <row r="119">
      <c r="B119" s="65"/>
    </row>
    <row r="120">
      <c r="B120" s="65"/>
    </row>
    <row r="121">
      <c r="B121" s="65"/>
    </row>
    <row r="122">
      <c r="B122" s="65"/>
    </row>
    <row r="123">
      <c r="B123" s="65"/>
    </row>
    <row r="124">
      <c r="B124" s="65"/>
    </row>
    <row r="125">
      <c r="B125" s="65"/>
    </row>
    <row r="126">
      <c r="B126" s="65"/>
    </row>
    <row r="127">
      <c r="B127" s="65"/>
    </row>
    <row r="128">
      <c r="B128" s="65"/>
    </row>
    <row r="129">
      <c r="B129" s="65"/>
    </row>
    <row r="130">
      <c r="B130" s="65"/>
    </row>
    <row r="131">
      <c r="B131" s="65"/>
    </row>
    <row r="132">
      <c r="B132" s="65"/>
    </row>
    <row r="133">
      <c r="B133" s="65"/>
    </row>
    <row r="134">
      <c r="B134" s="65"/>
    </row>
    <row r="135">
      <c r="B135" s="65"/>
    </row>
    <row r="136">
      <c r="B136" s="65"/>
    </row>
    <row r="137">
      <c r="B137" s="65"/>
    </row>
    <row r="138">
      <c r="B138" s="65"/>
    </row>
    <row r="139">
      <c r="B139" s="65"/>
    </row>
    <row r="140">
      <c r="B140" s="65"/>
    </row>
    <row r="141">
      <c r="B141" s="65"/>
    </row>
    <row r="142">
      <c r="B142" s="65"/>
    </row>
    <row r="143">
      <c r="B143" s="65"/>
    </row>
    <row r="144">
      <c r="B144" s="65"/>
    </row>
    <row r="145">
      <c r="B145" s="65"/>
    </row>
    <row r="146">
      <c r="B146" s="65"/>
    </row>
    <row r="147">
      <c r="B147" s="65"/>
    </row>
    <row r="148">
      <c r="B148" s="65"/>
    </row>
    <row r="149">
      <c r="B149" s="65"/>
    </row>
    <row r="150">
      <c r="B150" s="65"/>
    </row>
    <row r="151">
      <c r="B151" s="65"/>
    </row>
    <row r="152">
      <c r="B152" s="65"/>
    </row>
    <row r="153">
      <c r="B153" s="65"/>
    </row>
    <row r="154">
      <c r="B154" s="65"/>
    </row>
    <row r="155">
      <c r="B155" s="65"/>
    </row>
    <row r="156">
      <c r="B156" s="65"/>
    </row>
    <row r="157">
      <c r="B157" s="65"/>
    </row>
    <row r="158">
      <c r="B158" s="65"/>
    </row>
    <row r="159">
      <c r="B159" s="65"/>
    </row>
    <row r="160">
      <c r="B160" s="65"/>
    </row>
    <row r="161">
      <c r="B161" s="65"/>
    </row>
    <row r="162">
      <c r="B162" s="65"/>
    </row>
    <row r="163">
      <c r="B163" s="65"/>
    </row>
    <row r="164">
      <c r="B164" s="65"/>
    </row>
    <row r="165">
      <c r="B165" s="65"/>
    </row>
    <row r="166">
      <c r="B166" s="65"/>
    </row>
    <row r="167">
      <c r="B167" s="65"/>
    </row>
    <row r="168">
      <c r="B168" s="65"/>
    </row>
    <row r="169">
      <c r="B169" s="65"/>
    </row>
    <row r="170">
      <c r="B170" s="65"/>
    </row>
    <row r="171">
      <c r="B171" s="65"/>
    </row>
    <row r="172">
      <c r="B172" s="65"/>
    </row>
    <row r="173">
      <c r="B173" s="65"/>
    </row>
    <row r="174">
      <c r="B174" s="65"/>
    </row>
    <row r="175">
      <c r="B175" s="65"/>
    </row>
    <row r="176">
      <c r="B176" s="65"/>
    </row>
    <row r="177">
      <c r="B177" s="65"/>
    </row>
    <row r="178">
      <c r="B178" s="65"/>
    </row>
    <row r="179">
      <c r="B179" s="65"/>
    </row>
    <row r="180">
      <c r="B180" s="65"/>
    </row>
    <row r="181">
      <c r="B181" s="65"/>
    </row>
    <row r="182">
      <c r="B182" s="65"/>
    </row>
    <row r="183">
      <c r="B183" s="65"/>
    </row>
    <row r="184">
      <c r="B184" s="65"/>
    </row>
    <row r="185">
      <c r="B185" s="65"/>
    </row>
    <row r="186">
      <c r="B186" s="65"/>
    </row>
    <row r="187">
      <c r="B187" s="65"/>
    </row>
    <row r="188">
      <c r="B188" s="65"/>
    </row>
    <row r="189">
      <c r="B189" s="65"/>
    </row>
    <row r="190">
      <c r="B190" s="65"/>
    </row>
    <row r="191">
      <c r="B191" s="65"/>
    </row>
    <row r="192">
      <c r="B192" s="65"/>
    </row>
    <row r="193">
      <c r="B193" s="65"/>
    </row>
    <row r="194">
      <c r="B194" s="65"/>
    </row>
    <row r="195">
      <c r="B195" s="65"/>
    </row>
    <row r="196">
      <c r="B196" s="65"/>
    </row>
    <row r="197">
      <c r="B197" s="65"/>
    </row>
    <row r="198">
      <c r="B198" s="65"/>
    </row>
    <row r="199">
      <c r="B199" s="65"/>
    </row>
    <row r="200">
      <c r="B200" s="65"/>
    </row>
    <row r="201">
      <c r="B201" s="65"/>
    </row>
    <row r="202">
      <c r="B202" s="65"/>
    </row>
    <row r="203">
      <c r="B203" s="65"/>
    </row>
    <row r="204">
      <c r="B204" s="65"/>
    </row>
    <row r="205">
      <c r="B205" s="65"/>
    </row>
    <row r="206">
      <c r="B206" s="65"/>
    </row>
    <row r="207">
      <c r="B207" s="65"/>
    </row>
    <row r="208">
      <c r="B208" s="65"/>
    </row>
    <row r="209">
      <c r="B209" s="65"/>
    </row>
    <row r="210">
      <c r="B210" s="65"/>
    </row>
    <row r="211">
      <c r="B211" s="65"/>
    </row>
    <row r="212">
      <c r="B212" s="65"/>
    </row>
    <row r="213">
      <c r="B213" s="65"/>
    </row>
    <row r="214">
      <c r="B214" s="65"/>
    </row>
    <row r="215">
      <c r="B215" s="65"/>
    </row>
    <row r="216">
      <c r="B216" s="65"/>
    </row>
    <row r="217">
      <c r="B217" s="65"/>
    </row>
    <row r="218">
      <c r="B218" s="65"/>
    </row>
    <row r="219">
      <c r="B219" s="65"/>
    </row>
    <row r="220">
      <c r="B220" s="65"/>
    </row>
    <row r="221">
      <c r="B221" s="65"/>
    </row>
    <row r="222">
      <c r="B222" s="65"/>
    </row>
    <row r="223">
      <c r="B223" s="65"/>
    </row>
    <row r="224">
      <c r="B224" s="65"/>
    </row>
    <row r="225">
      <c r="B225" s="65"/>
    </row>
    <row r="226">
      <c r="B226" s="65"/>
    </row>
    <row r="227">
      <c r="B227" s="65"/>
    </row>
    <row r="228">
      <c r="B228" s="65"/>
    </row>
    <row r="229">
      <c r="B229" s="65"/>
    </row>
    <row r="230">
      <c r="B230" s="65"/>
    </row>
    <row r="231">
      <c r="B231" s="65"/>
    </row>
    <row r="232">
      <c r="B232" s="65"/>
    </row>
    <row r="233">
      <c r="B233" s="65"/>
    </row>
    <row r="234">
      <c r="B234" s="65"/>
    </row>
    <row r="235">
      <c r="B235" s="65"/>
    </row>
    <row r="236">
      <c r="B236" s="65"/>
    </row>
    <row r="237">
      <c r="B237" s="65"/>
    </row>
    <row r="238">
      <c r="B238" s="65"/>
    </row>
    <row r="239">
      <c r="B239" s="65"/>
    </row>
    <row r="240">
      <c r="B240" s="65"/>
    </row>
    <row r="241">
      <c r="B241" s="65"/>
    </row>
    <row r="242">
      <c r="B242" s="65"/>
    </row>
    <row r="243">
      <c r="B243" s="65"/>
    </row>
    <row r="244">
      <c r="B244" s="65"/>
    </row>
    <row r="245">
      <c r="B245" s="65"/>
    </row>
    <row r="246">
      <c r="B246" s="65"/>
    </row>
    <row r="247">
      <c r="B247" s="65"/>
    </row>
    <row r="248">
      <c r="B248" s="65"/>
    </row>
    <row r="249">
      <c r="B249" s="65"/>
    </row>
    <row r="250">
      <c r="B250" s="65"/>
    </row>
    <row r="251">
      <c r="B251" s="65"/>
    </row>
    <row r="252">
      <c r="B252" s="65"/>
    </row>
    <row r="253">
      <c r="B253" s="65"/>
    </row>
    <row r="254">
      <c r="B254" s="65"/>
    </row>
    <row r="255">
      <c r="B255" s="65"/>
    </row>
    <row r="256">
      <c r="B256" s="65"/>
    </row>
    <row r="257">
      <c r="B257" s="65"/>
    </row>
    <row r="258">
      <c r="B258" s="65"/>
    </row>
    <row r="259">
      <c r="B259" s="65"/>
    </row>
    <row r="260">
      <c r="B260" s="65"/>
    </row>
    <row r="261">
      <c r="B261" s="65"/>
    </row>
    <row r="262">
      <c r="B262" s="65"/>
    </row>
    <row r="263">
      <c r="B263" s="65"/>
    </row>
    <row r="264">
      <c r="B264" s="65"/>
    </row>
    <row r="265">
      <c r="B265" s="65"/>
    </row>
    <row r="266">
      <c r="B266" s="65"/>
    </row>
    <row r="267">
      <c r="B267" s="65"/>
    </row>
    <row r="268">
      <c r="B268" s="65"/>
    </row>
    <row r="269">
      <c r="B269" s="65"/>
    </row>
    <row r="270">
      <c r="B270" s="65"/>
    </row>
    <row r="271">
      <c r="B271" s="65"/>
    </row>
    <row r="272">
      <c r="B272" s="65"/>
    </row>
    <row r="273">
      <c r="B273" s="65"/>
    </row>
    <row r="274">
      <c r="B274" s="65"/>
    </row>
    <row r="275">
      <c r="B275" s="65"/>
    </row>
    <row r="276">
      <c r="B276" s="65"/>
    </row>
    <row r="277">
      <c r="B277" s="65"/>
    </row>
    <row r="278">
      <c r="B278" s="65"/>
    </row>
    <row r="279">
      <c r="B279" s="65"/>
    </row>
    <row r="280">
      <c r="B280" s="65"/>
    </row>
    <row r="281">
      <c r="B281" s="65"/>
    </row>
    <row r="282">
      <c r="B282" s="65"/>
    </row>
    <row r="283">
      <c r="B283" s="65"/>
    </row>
    <row r="284">
      <c r="B284" s="65"/>
    </row>
    <row r="285">
      <c r="B285" s="65"/>
    </row>
    <row r="286">
      <c r="B286" s="65"/>
    </row>
    <row r="287">
      <c r="B287" s="65"/>
    </row>
    <row r="288">
      <c r="B288" s="65"/>
    </row>
    <row r="289">
      <c r="B289" s="65"/>
    </row>
    <row r="290">
      <c r="B290" s="65"/>
    </row>
    <row r="291">
      <c r="B291" s="65"/>
    </row>
    <row r="292">
      <c r="B292" s="65"/>
    </row>
    <row r="293">
      <c r="B293" s="65"/>
    </row>
    <row r="294">
      <c r="B294" s="65"/>
    </row>
    <row r="295">
      <c r="B295" s="65"/>
    </row>
    <row r="296">
      <c r="B296" s="65"/>
    </row>
    <row r="297">
      <c r="B297" s="65"/>
    </row>
    <row r="298">
      <c r="B298" s="65"/>
    </row>
    <row r="299">
      <c r="B299" s="65"/>
    </row>
    <row r="300">
      <c r="B300" s="65"/>
    </row>
    <row r="301">
      <c r="B301" s="65"/>
    </row>
    <row r="302">
      <c r="B302" s="65"/>
    </row>
    <row r="303">
      <c r="B303" s="65"/>
    </row>
    <row r="304">
      <c r="B304" s="65"/>
    </row>
    <row r="305">
      <c r="B305" s="65"/>
    </row>
    <row r="306">
      <c r="B306" s="65"/>
    </row>
    <row r="307">
      <c r="B307" s="65"/>
    </row>
    <row r="308">
      <c r="B308" s="65"/>
    </row>
    <row r="309">
      <c r="B309" s="65"/>
    </row>
    <row r="310">
      <c r="B310" s="65"/>
    </row>
    <row r="311">
      <c r="B311" s="65"/>
    </row>
    <row r="312">
      <c r="B312" s="65"/>
    </row>
    <row r="313">
      <c r="B313" s="65"/>
    </row>
    <row r="314">
      <c r="B314" s="65"/>
    </row>
    <row r="315">
      <c r="B315" s="65"/>
    </row>
    <row r="316">
      <c r="B316" s="65"/>
    </row>
    <row r="317">
      <c r="B317" s="65"/>
    </row>
    <row r="318">
      <c r="B318" s="65"/>
    </row>
    <row r="319">
      <c r="B319" s="65"/>
    </row>
    <row r="320">
      <c r="B320" s="65"/>
    </row>
    <row r="321">
      <c r="B321" s="65"/>
    </row>
    <row r="322">
      <c r="B322" s="65"/>
    </row>
    <row r="323">
      <c r="B323" s="65"/>
    </row>
    <row r="324">
      <c r="B324" s="65"/>
    </row>
    <row r="325">
      <c r="B325" s="65"/>
    </row>
    <row r="326">
      <c r="B326" s="65"/>
    </row>
    <row r="327">
      <c r="B327" s="65"/>
    </row>
    <row r="328">
      <c r="B328" s="65"/>
    </row>
    <row r="329">
      <c r="B329" s="65"/>
    </row>
    <row r="330">
      <c r="B330" s="65"/>
    </row>
    <row r="331">
      <c r="B331" s="65"/>
    </row>
    <row r="332">
      <c r="B332" s="65"/>
    </row>
    <row r="333">
      <c r="B333" s="65"/>
    </row>
    <row r="334">
      <c r="B334" s="65"/>
    </row>
    <row r="335">
      <c r="B335" s="65"/>
    </row>
    <row r="336">
      <c r="B336" s="65"/>
    </row>
    <row r="337">
      <c r="B337" s="65"/>
    </row>
    <row r="338">
      <c r="B338" s="65"/>
    </row>
    <row r="339">
      <c r="B339" s="65"/>
    </row>
    <row r="340">
      <c r="B340" s="65"/>
    </row>
    <row r="341">
      <c r="B341" s="65"/>
    </row>
    <row r="342">
      <c r="B342" s="65"/>
    </row>
    <row r="343">
      <c r="B343" s="65"/>
    </row>
    <row r="344">
      <c r="B344" s="65"/>
    </row>
    <row r="345">
      <c r="B345" s="65"/>
    </row>
    <row r="346">
      <c r="B346" s="65"/>
    </row>
    <row r="347">
      <c r="B347" s="65"/>
    </row>
    <row r="348">
      <c r="B348" s="65"/>
    </row>
    <row r="349">
      <c r="B349" s="65"/>
    </row>
    <row r="350">
      <c r="B350" s="65"/>
    </row>
    <row r="351">
      <c r="B351" s="65"/>
    </row>
    <row r="352">
      <c r="B352" s="65"/>
    </row>
    <row r="353">
      <c r="B353" s="65"/>
    </row>
    <row r="354">
      <c r="B354" s="65"/>
    </row>
    <row r="355">
      <c r="B355" s="65"/>
    </row>
    <row r="356">
      <c r="B356" s="65"/>
    </row>
    <row r="357">
      <c r="B357" s="65"/>
    </row>
    <row r="358">
      <c r="B358" s="65"/>
    </row>
    <row r="359">
      <c r="B359" s="65"/>
    </row>
    <row r="360">
      <c r="B360" s="65"/>
    </row>
    <row r="361">
      <c r="B361" s="65"/>
    </row>
    <row r="362">
      <c r="B362" s="65"/>
    </row>
    <row r="363">
      <c r="B363" s="65"/>
    </row>
    <row r="364">
      <c r="B364" s="65"/>
    </row>
    <row r="365">
      <c r="B365" s="65"/>
    </row>
    <row r="366">
      <c r="B366" s="65"/>
    </row>
    <row r="367">
      <c r="B367" s="65"/>
    </row>
    <row r="368">
      <c r="B368" s="65"/>
    </row>
    <row r="369">
      <c r="B369" s="65"/>
    </row>
    <row r="370">
      <c r="B370" s="65"/>
    </row>
    <row r="371">
      <c r="B371" s="65"/>
    </row>
    <row r="372">
      <c r="B372" s="65"/>
    </row>
    <row r="373">
      <c r="B373" s="65"/>
    </row>
    <row r="374">
      <c r="B374" s="65"/>
    </row>
    <row r="375">
      <c r="B375" s="65"/>
    </row>
    <row r="376">
      <c r="B376" s="65"/>
    </row>
    <row r="377">
      <c r="B377" s="65"/>
    </row>
    <row r="378">
      <c r="B378" s="65"/>
    </row>
    <row r="379">
      <c r="B379" s="65"/>
    </row>
    <row r="380">
      <c r="B380" s="65"/>
    </row>
    <row r="381">
      <c r="B381" s="65"/>
    </row>
    <row r="382">
      <c r="B382" s="65"/>
    </row>
    <row r="383">
      <c r="B383" s="65"/>
    </row>
    <row r="384">
      <c r="B384" s="65"/>
    </row>
    <row r="385">
      <c r="B385" s="65"/>
    </row>
    <row r="386">
      <c r="B386" s="65"/>
    </row>
    <row r="387">
      <c r="B387" s="65"/>
    </row>
    <row r="388">
      <c r="B388" s="65"/>
    </row>
    <row r="389">
      <c r="B389" s="65"/>
    </row>
    <row r="390">
      <c r="B390" s="65"/>
    </row>
    <row r="391">
      <c r="B391" s="65"/>
    </row>
    <row r="392">
      <c r="B392" s="65"/>
    </row>
    <row r="393">
      <c r="B393" s="65"/>
    </row>
    <row r="394">
      <c r="B394" s="65"/>
    </row>
    <row r="395">
      <c r="B395" s="65"/>
    </row>
    <row r="396">
      <c r="B396" s="65"/>
    </row>
    <row r="397">
      <c r="B397" s="65"/>
    </row>
    <row r="398">
      <c r="B398" s="65"/>
    </row>
    <row r="399">
      <c r="B399" s="65"/>
    </row>
    <row r="400">
      <c r="B400" s="65"/>
    </row>
    <row r="401">
      <c r="B401" s="65"/>
    </row>
    <row r="402">
      <c r="B402" s="65"/>
    </row>
    <row r="403">
      <c r="B403" s="65"/>
    </row>
    <row r="404">
      <c r="B404" s="65"/>
    </row>
    <row r="405">
      <c r="B405" s="65"/>
    </row>
    <row r="406">
      <c r="B406" s="65"/>
    </row>
    <row r="407">
      <c r="B407" s="65"/>
    </row>
    <row r="408">
      <c r="B408" s="65"/>
    </row>
    <row r="409">
      <c r="B409" s="65"/>
    </row>
    <row r="410">
      <c r="B410" s="65"/>
    </row>
    <row r="411">
      <c r="B411" s="65"/>
    </row>
    <row r="412">
      <c r="B412" s="65"/>
    </row>
    <row r="413">
      <c r="B413" s="65"/>
    </row>
    <row r="414">
      <c r="B414" s="65"/>
    </row>
    <row r="415">
      <c r="B415" s="65"/>
    </row>
    <row r="416">
      <c r="B416" s="65"/>
    </row>
    <row r="417">
      <c r="B417" s="65"/>
    </row>
    <row r="418">
      <c r="B418" s="65"/>
    </row>
    <row r="419">
      <c r="B419" s="65"/>
    </row>
    <row r="420">
      <c r="B420" s="65"/>
    </row>
    <row r="421">
      <c r="B421" s="65"/>
    </row>
    <row r="422">
      <c r="B422" s="65"/>
    </row>
    <row r="423">
      <c r="B423" s="65"/>
    </row>
    <row r="424">
      <c r="B424" s="65"/>
    </row>
    <row r="425">
      <c r="B425" s="65"/>
    </row>
    <row r="426">
      <c r="B426" s="65"/>
    </row>
    <row r="427">
      <c r="B427" s="65"/>
    </row>
    <row r="428">
      <c r="B428" s="65"/>
    </row>
    <row r="429">
      <c r="B429" s="65"/>
    </row>
    <row r="430">
      <c r="B430" s="65"/>
    </row>
    <row r="431">
      <c r="B431" s="65"/>
    </row>
    <row r="432">
      <c r="B432" s="65"/>
    </row>
    <row r="433">
      <c r="B433" s="65"/>
    </row>
    <row r="434">
      <c r="B434" s="65"/>
    </row>
    <row r="435">
      <c r="B435" s="65"/>
    </row>
    <row r="436">
      <c r="B436" s="65"/>
    </row>
    <row r="437">
      <c r="B437" s="65"/>
    </row>
    <row r="438">
      <c r="B438" s="65"/>
    </row>
    <row r="439">
      <c r="B439" s="65"/>
    </row>
    <row r="440">
      <c r="B440" s="65"/>
    </row>
    <row r="441">
      <c r="B441" s="65"/>
    </row>
    <row r="442">
      <c r="B442" s="65"/>
    </row>
    <row r="443">
      <c r="B443" s="65"/>
    </row>
    <row r="444">
      <c r="B444" s="65"/>
    </row>
    <row r="445">
      <c r="B445" s="65"/>
    </row>
    <row r="446">
      <c r="B446" s="65"/>
    </row>
    <row r="447">
      <c r="B447" s="65"/>
    </row>
    <row r="448">
      <c r="B448" s="65"/>
    </row>
    <row r="449">
      <c r="B449" s="65"/>
    </row>
    <row r="450">
      <c r="B450" s="65"/>
    </row>
    <row r="451">
      <c r="B451" s="65"/>
    </row>
    <row r="452">
      <c r="B452" s="65"/>
    </row>
    <row r="453">
      <c r="B453" s="65"/>
    </row>
    <row r="454">
      <c r="B454" s="65"/>
    </row>
    <row r="455">
      <c r="B455" s="65"/>
    </row>
    <row r="456">
      <c r="B456" s="65"/>
    </row>
    <row r="457">
      <c r="B457" s="65"/>
    </row>
    <row r="458">
      <c r="B458" s="65"/>
    </row>
    <row r="459">
      <c r="B459" s="65"/>
    </row>
    <row r="460">
      <c r="B460" s="65"/>
    </row>
    <row r="461">
      <c r="B461" s="65"/>
    </row>
    <row r="462">
      <c r="B462" s="65"/>
    </row>
    <row r="463">
      <c r="B463" s="65"/>
    </row>
    <row r="464">
      <c r="B464" s="65"/>
    </row>
    <row r="465">
      <c r="B465" s="65"/>
    </row>
    <row r="466">
      <c r="B466" s="65"/>
    </row>
    <row r="467">
      <c r="B467" s="65"/>
    </row>
    <row r="468">
      <c r="B468" s="65"/>
    </row>
    <row r="469">
      <c r="B469" s="65"/>
    </row>
    <row r="470">
      <c r="B470" s="65"/>
    </row>
    <row r="471">
      <c r="B471" s="65"/>
    </row>
    <row r="472">
      <c r="B472" s="65"/>
    </row>
    <row r="473">
      <c r="B473" s="65"/>
    </row>
    <row r="474">
      <c r="B474" s="65"/>
    </row>
    <row r="475">
      <c r="B475" s="65"/>
    </row>
    <row r="476">
      <c r="B476" s="65"/>
    </row>
    <row r="477">
      <c r="B477" s="65"/>
    </row>
    <row r="478">
      <c r="B478" s="65"/>
    </row>
    <row r="479">
      <c r="B479" s="65"/>
    </row>
    <row r="480">
      <c r="B480" s="65"/>
    </row>
    <row r="481">
      <c r="B481" s="65"/>
    </row>
    <row r="482">
      <c r="B482" s="65"/>
    </row>
    <row r="483">
      <c r="B483" s="65"/>
    </row>
    <row r="484">
      <c r="B484" s="65"/>
    </row>
    <row r="485">
      <c r="B485" s="65"/>
    </row>
    <row r="486">
      <c r="B486" s="65"/>
    </row>
    <row r="487">
      <c r="B487" s="65"/>
    </row>
    <row r="488">
      <c r="B488" s="65"/>
    </row>
    <row r="489">
      <c r="B489" s="65"/>
    </row>
    <row r="490">
      <c r="B490" s="65"/>
    </row>
    <row r="491">
      <c r="B491" s="65"/>
    </row>
    <row r="492">
      <c r="B492" s="65"/>
    </row>
    <row r="493">
      <c r="B493" s="65"/>
    </row>
    <row r="494">
      <c r="B494" s="65"/>
    </row>
    <row r="495">
      <c r="B495" s="65"/>
    </row>
    <row r="496">
      <c r="B496" s="65"/>
    </row>
    <row r="497">
      <c r="B497" s="65"/>
    </row>
    <row r="498">
      <c r="B498" s="65"/>
    </row>
    <row r="499">
      <c r="B499" s="65"/>
    </row>
    <row r="500">
      <c r="B500" s="65"/>
    </row>
    <row r="501">
      <c r="B501" s="65"/>
    </row>
    <row r="502">
      <c r="B502" s="65"/>
    </row>
    <row r="503">
      <c r="B503" s="65"/>
    </row>
    <row r="504">
      <c r="B504" s="65"/>
    </row>
    <row r="505">
      <c r="B505" s="65"/>
    </row>
    <row r="506">
      <c r="B506" s="65"/>
    </row>
    <row r="507">
      <c r="B507" s="65"/>
    </row>
    <row r="508">
      <c r="B508" s="65"/>
    </row>
    <row r="509">
      <c r="B509" s="65"/>
    </row>
    <row r="510">
      <c r="B510" s="65"/>
    </row>
    <row r="511">
      <c r="B511" s="65"/>
    </row>
    <row r="512">
      <c r="B512" s="65"/>
    </row>
    <row r="513">
      <c r="B513" s="65"/>
    </row>
    <row r="514">
      <c r="B514" s="65"/>
    </row>
    <row r="515">
      <c r="B515" s="65"/>
    </row>
    <row r="516">
      <c r="B516" s="65"/>
    </row>
    <row r="517">
      <c r="B517" s="65"/>
    </row>
    <row r="518">
      <c r="B518" s="65"/>
    </row>
    <row r="519">
      <c r="B519" s="65"/>
    </row>
    <row r="520">
      <c r="B520" s="65"/>
    </row>
    <row r="521">
      <c r="B521" s="65"/>
    </row>
    <row r="522">
      <c r="B522" s="65"/>
    </row>
    <row r="523">
      <c r="B523" s="65"/>
    </row>
    <row r="524">
      <c r="B524" s="65"/>
    </row>
    <row r="525">
      <c r="B525" s="65"/>
    </row>
    <row r="526">
      <c r="B526" s="65"/>
    </row>
    <row r="527">
      <c r="B527" s="65"/>
    </row>
    <row r="528">
      <c r="B528" s="65"/>
    </row>
    <row r="529">
      <c r="B529" s="65"/>
    </row>
    <row r="530">
      <c r="B530" s="65"/>
    </row>
    <row r="531">
      <c r="B531" s="65"/>
    </row>
    <row r="532">
      <c r="B532" s="65"/>
    </row>
    <row r="533">
      <c r="B533" s="65"/>
    </row>
    <row r="534">
      <c r="B534" s="65"/>
    </row>
    <row r="535">
      <c r="B535" s="65"/>
    </row>
    <row r="536">
      <c r="B536" s="65"/>
    </row>
    <row r="537">
      <c r="B537" s="65"/>
    </row>
    <row r="538">
      <c r="B538" s="65"/>
    </row>
    <row r="539">
      <c r="B539" s="65"/>
    </row>
    <row r="540">
      <c r="B540" s="65"/>
    </row>
    <row r="541">
      <c r="B541" s="65"/>
    </row>
    <row r="542">
      <c r="B542" s="65"/>
    </row>
    <row r="543">
      <c r="B543" s="65"/>
    </row>
    <row r="544">
      <c r="B544" s="65"/>
    </row>
    <row r="545">
      <c r="B545" s="65"/>
    </row>
    <row r="546">
      <c r="B546" s="65"/>
    </row>
    <row r="547">
      <c r="B547" s="65"/>
    </row>
    <row r="548">
      <c r="B548" s="65"/>
    </row>
    <row r="549">
      <c r="B549" s="65"/>
    </row>
    <row r="550">
      <c r="B550" s="65"/>
    </row>
    <row r="551">
      <c r="B551" s="65"/>
    </row>
    <row r="552">
      <c r="B552" s="65"/>
    </row>
    <row r="553">
      <c r="B553" s="65"/>
    </row>
    <row r="554">
      <c r="B554" s="65"/>
    </row>
    <row r="555">
      <c r="B555" s="65"/>
    </row>
    <row r="556">
      <c r="B556" s="65"/>
    </row>
    <row r="557">
      <c r="B557" s="65"/>
    </row>
    <row r="558">
      <c r="B558" s="65"/>
    </row>
    <row r="559">
      <c r="B559" s="65"/>
    </row>
    <row r="560">
      <c r="B560" s="65"/>
    </row>
    <row r="561">
      <c r="B561" s="65"/>
    </row>
    <row r="562">
      <c r="B562" s="65"/>
    </row>
    <row r="563">
      <c r="B563" s="65"/>
    </row>
    <row r="564">
      <c r="B564" s="65"/>
    </row>
    <row r="565">
      <c r="B565" s="65"/>
    </row>
    <row r="566">
      <c r="B566" s="65"/>
    </row>
    <row r="567">
      <c r="B567" s="65"/>
    </row>
    <row r="568">
      <c r="B568" s="65"/>
    </row>
    <row r="569">
      <c r="B569" s="65"/>
    </row>
    <row r="570">
      <c r="B570" s="65"/>
    </row>
    <row r="571">
      <c r="B571" s="65"/>
    </row>
    <row r="572">
      <c r="B572" s="65"/>
    </row>
    <row r="573">
      <c r="B573" s="65"/>
    </row>
    <row r="574">
      <c r="B574" s="65"/>
    </row>
    <row r="575">
      <c r="B575" s="65"/>
    </row>
    <row r="576">
      <c r="B576" s="65"/>
    </row>
    <row r="577">
      <c r="B577" s="65"/>
    </row>
    <row r="578">
      <c r="B578" s="65"/>
    </row>
    <row r="579">
      <c r="B579" s="65"/>
    </row>
    <row r="580">
      <c r="B580" s="65"/>
    </row>
    <row r="581">
      <c r="B581" s="65"/>
    </row>
    <row r="582">
      <c r="B582" s="65"/>
    </row>
    <row r="583">
      <c r="B583" s="65"/>
    </row>
    <row r="584">
      <c r="B584" s="65"/>
    </row>
    <row r="585">
      <c r="B585" s="65"/>
    </row>
    <row r="586">
      <c r="B586" s="65"/>
    </row>
    <row r="587">
      <c r="B587" s="65"/>
    </row>
    <row r="588">
      <c r="B588" s="65"/>
    </row>
    <row r="589">
      <c r="B589" s="65"/>
    </row>
    <row r="590">
      <c r="B590" s="65"/>
    </row>
    <row r="591">
      <c r="B591" s="65"/>
    </row>
    <row r="592">
      <c r="B592" s="65"/>
    </row>
    <row r="593">
      <c r="B593" s="65"/>
    </row>
    <row r="594">
      <c r="B594" s="65"/>
    </row>
    <row r="595">
      <c r="B595" s="65"/>
    </row>
    <row r="596">
      <c r="B596" s="65"/>
    </row>
    <row r="597">
      <c r="B597" s="65"/>
    </row>
    <row r="598">
      <c r="B598" s="65"/>
    </row>
    <row r="599">
      <c r="B599" s="65"/>
    </row>
    <row r="600">
      <c r="B600" s="65"/>
    </row>
    <row r="601">
      <c r="B601" s="65"/>
    </row>
    <row r="602">
      <c r="B602" s="65"/>
    </row>
    <row r="603">
      <c r="B603" s="65"/>
    </row>
    <row r="604">
      <c r="B604" s="65"/>
    </row>
    <row r="605">
      <c r="B605" s="65"/>
    </row>
    <row r="606">
      <c r="B606" s="65"/>
    </row>
    <row r="607">
      <c r="B607" s="65"/>
    </row>
    <row r="608">
      <c r="B608" s="65"/>
    </row>
    <row r="609">
      <c r="B609" s="65"/>
    </row>
    <row r="610">
      <c r="B610" s="65"/>
    </row>
    <row r="611">
      <c r="B611" s="65"/>
    </row>
    <row r="612">
      <c r="B612" s="65"/>
    </row>
    <row r="613">
      <c r="B613" s="65"/>
    </row>
    <row r="614">
      <c r="B614" s="65"/>
    </row>
    <row r="615">
      <c r="B615" s="65"/>
    </row>
    <row r="616">
      <c r="B616" s="65"/>
    </row>
    <row r="617">
      <c r="B617" s="65"/>
    </row>
    <row r="618">
      <c r="B618" s="65"/>
    </row>
    <row r="619">
      <c r="B619" s="65"/>
    </row>
    <row r="620">
      <c r="B620" s="65"/>
    </row>
    <row r="621">
      <c r="B621" s="65"/>
    </row>
    <row r="622">
      <c r="B622" s="65"/>
    </row>
    <row r="623">
      <c r="B623" s="65"/>
    </row>
    <row r="624">
      <c r="B624" s="65"/>
    </row>
    <row r="625">
      <c r="B625" s="65"/>
    </row>
    <row r="626">
      <c r="B626" s="65"/>
    </row>
    <row r="627">
      <c r="B627" s="65"/>
    </row>
    <row r="628">
      <c r="B628" s="65"/>
    </row>
    <row r="629">
      <c r="B629" s="65"/>
    </row>
    <row r="630">
      <c r="B630" s="65"/>
    </row>
    <row r="631">
      <c r="B631" s="65"/>
    </row>
    <row r="632">
      <c r="B632" s="65"/>
    </row>
    <row r="633">
      <c r="B633" s="65"/>
    </row>
    <row r="634">
      <c r="B634" s="65"/>
    </row>
    <row r="635">
      <c r="B635" s="65"/>
    </row>
    <row r="636">
      <c r="B636" s="65"/>
    </row>
    <row r="637">
      <c r="B637" s="65"/>
    </row>
    <row r="638">
      <c r="B638" s="65"/>
    </row>
    <row r="639">
      <c r="B639" s="65"/>
    </row>
    <row r="640">
      <c r="B640" s="65"/>
    </row>
    <row r="641">
      <c r="B641" s="65"/>
    </row>
    <row r="642">
      <c r="B642" s="65"/>
    </row>
    <row r="643">
      <c r="B643" s="65"/>
    </row>
    <row r="644">
      <c r="B644" s="65"/>
    </row>
    <row r="645">
      <c r="B645" s="65"/>
    </row>
    <row r="646">
      <c r="B646" s="65"/>
    </row>
    <row r="647">
      <c r="B647" s="65"/>
    </row>
    <row r="648">
      <c r="B648" s="65"/>
    </row>
    <row r="649">
      <c r="B649" s="65"/>
    </row>
    <row r="650">
      <c r="B650" s="65"/>
    </row>
    <row r="651">
      <c r="B651" s="65"/>
    </row>
    <row r="652">
      <c r="B652" s="65"/>
    </row>
    <row r="653">
      <c r="B653" s="65"/>
    </row>
    <row r="654">
      <c r="B654" s="65"/>
    </row>
    <row r="655">
      <c r="B655" s="65"/>
    </row>
    <row r="656">
      <c r="B656" s="65"/>
    </row>
    <row r="657">
      <c r="B657" s="65"/>
    </row>
    <row r="658">
      <c r="B658" s="65"/>
    </row>
    <row r="659">
      <c r="B659" s="65"/>
    </row>
    <row r="660">
      <c r="B660" s="65"/>
    </row>
    <row r="661">
      <c r="B661" s="65"/>
    </row>
    <row r="662">
      <c r="B662" s="65"/>
    </row>
    <row r="663">
      <c r="B663" s="65"/>
    </row>
    <row r="664">
      <c r="B664" s="65"/>
    </row>
    <row r="665">
      <c r="B665" s="65"/>
    </row>
    <row r="666">
      <c r="B666" s="65"/>
    </row>
    <row r="667">
      <c r="B667" s="65"/>
    </row>
    <row r="668">
      <c r="B668" s="65"/>
    </row>
    <row r="669">
      <c r="B669" s="65"/>
    </row>
    <row r="670">
      <c r="B670" s="65"/>
    </row>
    <row r="671">
      <c r="B671" s="65"/>
    </row>
    <row r="672">
      <c r="B672" s="65"/>
    </row>
    <row r="673">
      <c r="B673" s="65"/>
    </row>
    <row r="674">
      <c r="B674" s="65"/>
    </row>
    <row r="675">
      <c r="B675" s="65"/>
    </row>
    <row r="676">
      <c r="B676" s="65"/>
    </row>
    <row r="677">
      <c r="B677" s="65"/>
    </row>
    <row r="678">
      <c r="B678" s="65"/>
    </row>
    <row r="679">
      <c r="B679" s="65"/>
    </row>
    <row r="680">
      <c r="B680" s="65"/>
    </row>
    <row r="681">
      <c r="B681" s="65"/>
    </row>
    <row r="682">
      <c r="B682" s="65"/>
    </row>
    <row r="683">
      <c r="B683" s="65"/>
    </row>
    <row r="684">
      <c r="B684" s="65"/>
    </row>
    <row r="685">
      <c r="B685" s="65"/>
    </row>
    <row r="686">
      <c r="B686" s="65"/>
    </row>
    <row r="687">
      <c r="B687" s="65"/>
    </row>
    <row r="688">
      <c r="B688" s="65"/>
    </row>
    <row r="689">
      <c r="B689" s="65"/>
    </row>
    <row r="690">
      <c r="B690" s="65"/>
    </row>
    <row r="691">
      <c r="B691" s="65"/>
    </row>
    <row r="692">
      <c r="B692" s="65"/>
    </row>
    <row r="693">
      <c r="B693" s="65"/>
    </row>
    <row r="694">
      <c r="B694" s="65"/>
    </row>
    <row r="695">
      <c r="B695" s="65"/>
    </row>
    <row r="696">
      <c r="B696" s="65"/>
    </row>
    <row r="697">
      <c r="B697" s="65"/>
    </row>
    <row r="698">
      <c r="B698" s="65"/>
    </row>
    <row r="699">
      <c r="B699" s="65"/>
    </row>
    <row r="700">
      <c r="B700" s="65"/>
    </row>
    <row r="701">
      <c r="B701" s="65"/>
    </row>
    <row r="702">
      <c r="B702" s="65"/>
    </row>
    <row r="703">
      <c r="B703" s="65"/>
    </row>
    <row r="704">
      <c r="B704" s="65"/>
    </row>
    <row r="705">
      <c r="B705" s="65"/>
    </row>
    <row r="706">
      <c r="B706" s="65"/>
    </row>
    <row r="707">
      <c r="B707" s="65"/>
    </row>
    <row r="708">
      <c r="B708" s="65"/>
    </row>
    <row r="709">
      <c r="B709" s="65"/>
    </row>
    <row r="710">
      <c r="B710" s="65"/>
    </row>
    <row r="711">
      <c r="B711" s="65"/>
    </row>
    <row r="712">
      <c r="B712" s="65"/>
    </row>
    <row r="713">
      <c r="B713" s="65"/>
    </row>
    <row r="714">
      <c r="B714" s="65"/>
    </row>
    <row r="715">
      <c r="B715" s="65"/>
    </row>
    <row r="716">
      <c r="B716" s="65"/>
    </row>
    <row r="717">
      <c r="B717" s="65"/>
    </row>
    <row r="718">
      <c r="B718" s="65"/>
    </row>
    <row r="719">
      <c r="B719" s="65"/>
    </row>
    <row r="720">
      <c r="B720" s="65"/>
    </row>
    <row r="721">
      <c r="B721" s="65"/>
    </row>
    <row r="722">
      <c r="B722" s="65"/>
    </row>
    <row r="723">
      <c r="B723" s="65"/>
    </row>
    <row r="724">
      <c r="B724" s="65"/>
    </row>
    <row r="725">
      <c r="B725" s="65"/>
    </row>
    <row r="726">
      <c r="B726" s="65"/>
    </row>
    <row r="727">
      <c r="B727" s="65"/>
    </row>
    <row r="728">
      <c r="B728" s="65"/>
    </row>
    <row r="729">
      <c r="B729" s="65"/>
    </row>
    <row r="730">
      <c r="B730" s="65"/>
    </row>
    <row r="731">
      <c r="B731" s="65"/>
    </row>
    <row r="732">
      <c r="B732" s="65"/>
    </row>
    <row r="733">
      <c r="B733" s="65"/>
    </row>
    <row r="734">
      <c r="B734" s="65"/>
    </row>
    <row r="735">
      <c r="B735" s="65"/>
    </row>
    <row r="736">
      <c r="B736" s="65"/>
    </row>
    <row r="737">
      <c r="B737" s="65"/>
    </row>
    <row r="738">
      <c r="B738" s="65"/>
    </row>
    <row r="739">
      <c r="B739" s="65"/>
    </row>
    <row r="740">
      <c r="B740" s="65"/>
    </row>
    <row r="741">
      <c r="B741" s="65"/>
    </row>
    <row r="742">
      <c r="B742" s="65"/>
    </row>
    <row r="743">
      <c r="B743" s="65"/>
    </row>
    <row r="744">
      <c r="B744" s="65"/>
    </row>
    <row r="745">
      <c r="B745" s="65"/>
    </row>
    <row r="746">
      <c r="B746" s="65"/>
    </row>
    <row r="747">
      <c r="B747" s="65"/>
    </row>
    <row r="748">
      <c r="B748" s="65"/>
    </row>
    <row r="749">
      <c r="B749" s="65"/>
    </row>
    <row r="750">
      <c r="B750" s="65"/>
    </row>
    <row r="751">
      <c r="B751" s="65"/>
    </row>
    <row r="752">
      <c r="B752" s="65"/>
    </row>
    <row r="753">
      <c r="B753" s="65"/>
    </row>
    <row r="754">
      <c r="B754" s="65"/>
    </row>
    <row r="755">
      <c r="B755" s="65"/>
    </row>
    <row r="756">
      <c r="B756" s="65"/>
    </row>
    <row r="757">
      <c r="B757" s="65"/>
    </row>
    <row r="758">
      <c r="B758" s="65"/>
    </row>
    <row r="759">
      <c r="B759" s="65"/>
    </row>
    <row r="760">
      <c r="B760" s="65"/>
    </row>
    <row r="761">
      <c r="B761" s="65"/>
    </row>
    <row r="762">
      <c r="B762" s="65"/>
    </row>
    <row r="763">
      <c r="B763" s="65"/>
    </row>
    <row r="764">
      <c r="B764" s="65"/>
    </row>
    <row r="765">
      <c r="B765" s="65"/>
    </row>
    <row r="766">
      <c r="B766" s="65"/>
    </row>
    <row r="767">
      <c r="B767" s="65"/>
    </row>
    <row r="768">
      <c r="B768" s="65"/>
    </row>
    <row r="769">
      <c r="B769" s="65"/>
    </row>
    <row r="770">
      <c r="B770" s="65"/>
    </row>
    <row r="771">
      <c r="B771" s="65"/>
    </row>
    <row r="772">
      <c r="B772" s="65"/>
    </row>
    <row r="773">
      <c r="B773" s="65"/>
    </row>
    <row r="774">
      <c r="B774" s="65"/>
    </row>
    <row r="775">
      <c r="B775" s="65"/>
    </row>
    <row r="776">
      <c r="B776" s="65"/>
    </row>
    <row r="777">
      <c r="B777" s="65"/>
    </row>
    <row r="778">
      <c r="B778" s="65"/>
    </row>
    <row r="779">
      <c r="B779" s="65"/>
    </row>
    <row r="780">
      <c r="B780" s="65"/>
    </row>
    <row r="781">
      <c r="B781" s="65"/>
    </row>
    <row r="782">
      <c r="B782" s="65"/>
    </row>
    <row r="783">
      <c r="B783" s="65"/>
    </row>
    <row r="784">
      <c r="B784" s="65"/>
    </row>
    <row r="785">
      <c r="B785" s="65"/>
    </row>
    <row r="786">
      <c r="B786" s="65"/>
    </row>
    <row r="787">
      <c r="B787" s="65"/>
    </row>
    <row r="788">
      <c r="B788" s="65"/>
    </row>
    <row r="789">
      <c r="B789" s="65"/>
    </row>
    <row r="790">
      <c r="B790" s="65"/>
    </row>
    <row r="791">
      <c r="B791" s="65"/>
    </row>
    <row r="792">
      <c r="B792" s="65"/>
    </row>
    <row r="793">
      <c r="B793" s="65"/>
    </row>
    <row r="794">
      <c r="B794" s="65"/>
    </row>
    <row r="795">
      <c r="B795" s="65"/>
    </row>
    <row r="796">
      <c r="B796" s="65"/>
    </row>
    <row r="797">
      <c r="B797" s="65"/>
    </row>
    <row r="798">
      <c r="B798" s="65"/>
    </row>
    <row r="799">
      <c r="B799" s="65"/>
    </row>
    <row r="800">
      <c r="B800" s="65"/>
    </row>
    <row r="801">
      <c r="B801" s="65"/>
    </row>
    <row r="802">
      <c r="B802" s="65"/>
    </row>
    <row r="803">
      <c r="B803" s="65"/>
    </row>
    <row r="804">
      <c r="B804" s="65"/>
    </row>
    <row r="805">
      <c r="B805" s="65"/>
    </row>
    <row r="806">
      <c r="B806" s="65"/>
    </row>
    <row r="807">
      <c r="B807" s="65"/>
    </row>
    <row r="808">
      <c r="B808" s="65"/>
    </row>
    <row r="809">
      <c r="B809" s="65"/>
    </row>
    <row r="810">
      <c r="B810" s="65"/>
    </row>
    <row r="811">
      <c r="B811" s="65"/>
    </row>
    <row r="812">
      <c r="B812" s="65"/>
    </row>
    <row r="813">
      <c r="B813" s="65"/>
    </row>
    <row r="814">
      <c r="B814" s="65"/>
    </row>
    <row r="815">
      <c r="B815" s="65"/>
    </row>
    <row r="816">
      <c r="B816" s="65"/>
    </row>
    <row r="817">
      <c r="B817" s="65"/>
    </row>
    <row r="818">
      <c r="B818" s="65"/>
    </row>
    <row r="819">
      <c r="B819" s="65"/>
    </row>
    <row r="820">
      <c r="B820" s="65"/>
    </row>
    <row r="821">
      <c r="B821" s="65"/>
    </row>
    <row r="822">
      <c r="B822" s="65"/>
    </row>
    <row r="823">
      <c r="B823" s="65"/>
    </row>
    <row r="824">
      <c r="B824" s="65"/>
    </row>
    <row r="825">
      <c r="B825" s="65"/>
    </row>
    <row r="826">
      <c r="B826" s="65"/>
    </row>
    <row r="827">
      <c r="B827" s="65"/>
    </row>
    <row r="828">
      <c r="B828" s="65"/>
    </row>
    <row r="829">
      <c r="B829" s="65"/>
    </row>
    <row r="830">
      <c r="B830" s="65"/>
    </row>
    <row r="831">
      <c r="B831" s="65"/>
    </row>
    <row r="832">
      <c r="B832" s="65"/>
    </row>
    <row r="833">
      <c r="B833" s="65"/>
    </row>
    <row r="834">
      <c r="B834" s="65"/>
    </row>
    <row r="835">
      <c r="B835" s="65"/>
    </row>
    <row r="836">
      <c r="B836" s="65"/>
    </row>
    <row r="837">
      <c r="B837" s="65"/>
    </row>
    <row r="838">
      <c r="B838" s="65"/>
    </row>
    <row r="839">
      <c r="B839" s="65"/>
    </row>
    <row r="840">
      <c r="B840" s="65"/>
    </row>
    <row r="841">
      <c r="B841" s="65"/>
    </row>
    <row r="842">
      <c r="B842" s="65"/>
    </row>
    <row r="843">
      <c r="B843" s="65"/>
    </row>
    <row r="844">
      <c r="B844" s="65"/>
    </row>
    <row r="845">
      <c r="B845" s="65"/>
    </row>
    <row r="846">
      <c r="B846" s="65"/>
    </row>
    <row r="847">
      <c r="B847" s="65"/>
    </row>
    <row r="848">
      <c r="B848" s="65"/>
    </row>
    <row r="849">
      <c r="B849" s="65"/>
    </row>
    <row r="850">
      <c r="B850" s="65"/>
    </row>
    <row r="851">
      <c r="B851" s="65"/>
    </row>
    <row r="852">
      <c r="B852" s="65"/>
    </row>
    <row r="853">
      <c r="B853" s="65"/>
    </row>
    <row r="854">
      <c r="B854" s="65"/>
    </row>
    <row r="855">
      <c r="B855" s="65"/>
    </row>
    <row r="856">
      <c r="B856" s="65"/>
    </row>
    <row r="857">
      <c r="B857" s="65"/>
    </row>
    <row r="858">
      <c r="B858" s="65"/>
    </row>
    <row r="859">
      <c r="B859" s="65"/>
    </row>
    <row r="860">
      <c r="B860" s="65"/>
    </row>
    <row r="861">
      <c r="B861" s="65"/>
    </row>
    <row r="862">
      <c r="B862" s="65"/>
    </row>
    <row r="863">
      <c r="B863" s="65"/>
    </row>
    <row r="864">
      <c r="B864" s="65"/>
    </row>
    <row r="865">
      <c r="B865" s="65"/>
    </row>
    <row r="866">
      <c r="B866" s="65"/>
    </row>
    <row r="867">
      <c r="B867" s="65"/>
    </row>
    <row r="868">
      <c r="B868" s="65"/>
    </row>
    <row r="869">
      <c r="B869" s="65"/>
    </row>
    <row r="870">
      <c r="B870" s="65"/>
    </row>
    <row r="871">
      <c r="B871" s="65"/>
    </row>
    <row r="872">
      <c r="B872" s="65"/>
    </row>
    <row r="873">
      <c r="B873" s="65"/>
    </row>
    <row r="874">
      <c r="B874" s="65"/>
    </row>
    <row r="875">
      <c r="B875" s="65"/>
    </row>
    <row r="876">
      <c r="B876" s="65"/>
    </row>
    <row r="877">
      <c r="B877" s="65"/>
    </row>
    <row r="878">
      <c r="B878" s="65"/>
    </row>
    <row r="879">
      <c r="B879" s="65"/>
    </row>
    <row r="880">
      <c r="B880" s="65"/>
    </row>
    <row r="881">
      <c r="B881" s="65"/>
    </row>
    <row r="882">
      <c r="B882" s="65"/>
    </row>
    <row r="883">
      <c r="B883" s="65"/>
    </row>
    <row r="884">
      <c r="B884" s="65"/>
    </row>
    <row r="885">
      <c r="B885" s="65"/>
    </row>
    <row r="886">
      <c r="B886" s="65"/>
    </row>
    <row r="887">
      <c r="B887" s="65"/>
    </row>
    <row r="888">
      <c r="B888" s="65"/>
    </row>
    <row r="889">
      <c r="B889" s="65"/>
    </row>
    <row r="890">
      <c r="B890" s="65"/>
    </row>
    <row r="891">
      <c r="B891" s="65"/>
    </row>
    <row r="892">
      <c r="B892" s="65"/>
    </row>
    <row r="893">
      <c r="B893" s="65"/>
    </row>
    <row r="894">
      <c r="B894" s="65"/>
    </row>
    <row r="895">
      <c r="B895" s="65"/>
    </row>
    <row r="896">
      <c r="B896" s="65"/>
    </row>
    <row r="897">
      <c r="B897" s="65"/>
    </row>
    <row r="898">
      <c r="B898" s="65"/>
    </row>
    <row r="899">
      <c r="B899" s="65"/>
    </row>
    <row r="900">
      <c r="B900" s="65"/>
    </row>
    <row r="901">
      <c r="B901" s="65"/>
    </row>
    <row r="902">
      <c r="B902" s="65"/>
    </row>
    <row r="903">
      <c r="B903" s="65"/>
    </row>
    <row r="904">
      <c r="B904" s="65"/>
    </row>
    <row r="905">
      <c r="B905" s="65"/>
    </row>
    <row r="906">
      <c r="B906" s="65"/>
    </row>
    <row r="907">
      <c r="B907" s="65"/>
    </row>
    <row r="908">
      <c r="B908" s="65"/>
    </row>
    <row r="909">
      <c r="B909" s="65"/>
    </row>
    <row r="910">
      <c r="B910" s="65"/>
    </row>
    <row r="911">
      <c r="B911" s="65"/>
    </row>
    <row r="912">
      <c r="B912" s="65"/>
    </row>
    <row r="913">
      <c r="B913" s="65"/>
    </row>
    <row r="914">
      <c r="B914" s="65"/>
    </row>
    <row r="915">
      <c r="B915" s="65"/>
    </row>
    <row r="916">
      <c r="B916" s="65"/>
    </row>
    <row r="917">
      <c r="B917" s="65"/>
    </row>
    <row r="918">
      <c r="B918" s="65"/>
    </row>
    <row r="919">
      <c r="B919" s="65"/>
    </row>
    <row r="920">
      <c r="B920" s="65"/>
    </row>
    <row r="921">
      <c r="B921" s="65"/>
    </row>
    <row r="922">
      <c r="B922" s="65"/>
    </row>
    <row r="923">
      <c r="B923" s="65"/>
    </row>
    <row r="924">
      <c r="B924" s="65"/>
    </row>
    <row r="925">
      <c r="B925" s="65"/>
    </row>
    <row r="926">
      <c r="B926" s="65"/>
    </row>
    <row r="927">
      <c r="B927" s="65"/>
    </row>
    <row r="928">
      <c r="B928" s="65"/>
    </row>
    <row r="929">
      <c r="B929" s="65"/>
    </row>
    <row r="930">
      <c r="B930" s="65"/>
    </row>
    <row r="931">
      <c r="B931" s="65"/>
    </row>
    <row r="932">
      <c r="B932" s="65"/>
    </row>
    <row r="933">
      <c r="B933" s="65"/>
    </row>
    <row r="934">
      <c r="B934" s="65"/>
    </row>
    <row r="935">
      <c r="B935" s="65"/>
    </row>
    <row r="936">
      <c r="B936" s="65"/>
    </row>
    <row r="937">
      <c r="B937" s="65"/>
    </row>
    <row r="938">
      <c r="B938" s="65"/>
    </row>
    <row r="939">
      <c r="B939" s="65"/>
    </row>
    <row r="940">
      <c r="B940" s="65"/>
    </row>
    <row r="941">
      <c r="B941" s="65"/>
    </row>
    <row r="942">
      <c r="B942" s="65"/>
    </row>
    <row r="943">
      <c r="B943" s="65"/>
    </row>
    <row r="944">
      <c r="B944" s="65"/>
    </row>
    <row r="945">
      <c r="B945" s="65"/>
    </row>
    <row r="946">
      <c r="B946" s="65"/>
    </row>
    <row r="947">
      <c r="B947" s="65"/>
    </row>
    <row r="948">
      <c r="B948" s="65"/>
    </row>
    <row r="949">
      <c r="B949" s="65"/>
    </row>
    <row r="950">
      <c r="B950" s="65"/>
    </row>
    <row r="951">
      <c r="B951" s="65"/>
    </row>
    <row r="952">
      <c r="B952" s="65"/>
    </row>
    <row r="953">
      <c r="B953" s="65"/>
    </row>
    <row r="954">
      <c r="B954" s="65"/>
    </row>
    <row r="955">
      <c r="B955" s="65"/>
    </row>
    <row r="956">
      <c r="B956" s="65"/>
    </row>
    <row r="957">
      <c r="B957" s="65"/>
    </row>
    <row r="958">
      <c r="B958" s="65"/>
    </row>
    <row r="959">
      <c r="B959" s="65"/>
    </row>
    <row r="960">
      <c r="B960" s="65"/>
    </row>
    <row r="961">
      <c r="B961" s="65"/>
    </row>
    <row r="962">
      <c r="B962" s="65"/>
    </row>
    <row r="963">
      <c r="B963" s="65"/>
    </row>
    <row r="964">
      <c r="B964" s="65"/>
    </row>
    <row r="965">
      <c r="B965" s="65"/>
    </row>
    <row r="966">
      <c r="B966" s="65"/>
    </row>
    <row r="967">
      <c r="B967" s="65"/>
    </row>
    <row r="968">
      <c r="B968" s="65"/>
    </row>
    <row r="969">
      <c r="B969" s="65"/>
    </row>
    <row r="970">
      <c r="B970" s="65"/>
    </row>
    <row r="971">
      <c r="B971" s="6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7.29" defaultRowHeight="15.0"/>
  <cols>
    <col customWidth="1" min="1" max="1" width="32.71"/>
    <col customWidth="1" min="2" max="2" width="23.86"/>
    <col customWidth="1" min="3" max="3" width="24.14"/>
    <col customWidth="1" min="4" max="4" width="21.86"/>
    <col customWidth="1" min="5" max="5" width="22.14"/>
    <col customWidth="1" min="6" max="26" width="8.71"/>
  </cols>
  <sheetData>
    <row r="1">
      <c r="A1" s="62" t="s">
        <v>623</v>
      </c>
      <c r="B1" s="63" t="s">
        <v>438</v>
      </c>
      <c r="C1" s="63" t="s">
        <v>439</v>
      </c>
      <c r="D1" s="65"/>
      <c r="E1" s="65"/>
    </row>
    <row r="2">
      <c r="A2" s="7" t="s">
        <v>440</v>
      </c>
      <c r="B2" s="64">
        <v>43927.0</v>
      </c>
      <c r="C2" s="64">
        <v>43926.0</v>
      </c>
      <c r="D2" s="64"/>
      <c r="E2" s="65"/>
      <c r="F2" s="65"/>
    </row>
    <row r="3">
      <c r="A3" s="7" t="s">
        <v>3</v>
      </c>
      <c r="B3" s="66" t="s">
        <v>597</v>
      </c>
      <c r="C3" s="66" t="s">
        <v>587</v>
      </c>
      <c r="D3" s="66"/>
      <c r="E3" s="65"/>
      <c r="F3" s="65"/>
    </row>
    <row r="4">
      <c r="A4" s="7" t="s">
        <v>452</v>
      </c>
      <c r="B4" s="69" t="s">
        <v>626</v>
      </c>
      <c r="C4" s="66"/>
      <c r="D4" s="66"/>
      <c r="E4" s="67"/>
      <c r="F4" s="65"/>
    </row>
    <row r="5">
      <c r="A5" s="7" t="s">
        <v>98</v>
      </c>
      <c r="B5" s="66" t="s">
        <v>627</v>
      </c>
      <c r="C5" s="66" t="s">
        <v>628</v>
      </c>
      <c r="D5" s="66" t="s">
        <v>628</v>
      </c>
      <c r="E5" s="65"/>
      <c r="F5" s="65"/>
    </row>
    <row r="6">
      <c r="A6" s="7" t="s">
        <v>461</v>
      </c>
      <c r="B6" s="66" t="s">
        <v>462</v>
      </c>
      <c r="C6" s="66"/>
      <c r="D6" s="65"/>
      <c r="E6" s="65"/>
      <c r="F6" s="65"/>
    </row>
    <row r="7">
      <c r="A7" s="7" t="s">
        <v>464</v>
      </c>
      <c r="B7" s="66" t="s">
        <v>466</v>
      </c>
      <c r="C7" s="66"/>
      <c r="D7" s="65"/>
      <c r="E7" s="65"/>
      <c r="F7" s="65"/>
    </row>
    <row r="8">
      <c r="A8" s="68" t="s">
        <v>467</v>
      </c>
      <c r="B8" s="66" t="s">
        <v>462</v>
      </c>
      <c r="C8" s="66"/>
      <c r="D8" s="65"/>
      <c r="E8" s="65"/>
      <c r="F8" s="65"/>
    </row>
    <row r="9">
      <c r="A9" s="68" t="s">
        <v>468</v>
      </c>
      <c r="B9" s="66" t="s">
        <v>466</v>
      </c>
      <c r="C9" s="65"/>
      <c r="D9" s="65"/>
      <c r="E9" s="65"/>
      <c r="F9" s="65"/>
    </row>
    <row r="10">
      <c r="A10" s="7" t="s">
        <v>632</v>
      </c>
      <c r="B10" s="66" t="s">
        <v>471</v>
      </c>
      <c r="C10" s="66"/>
      <c r="D10" s="65"/>
      <c r="E10" s="65"/>
      <c r="F10" s="65"/>
    </row>
    <row r="11">
      <c r="A11" s="7" t="s">
        <v>472</v>
      </c>
      <c r="B11" s="66" t="s">
        <v>471</v>
      </c>
      <c r="C11" s="66" t="s">
        <v>470</v>
      </c>
      <c r="D11" s="65"/>
      <c r="E11" s="65"/>
      <c r="F11" s="65"/>
    </row>
    <row r="12">
      <c r="A12" s="7" t="s">
        <v>473</v>
      </c>
      <c r="B12" s="66" t="s">
        <v>474</v>
      </c>
      <c r="C12" s="66"/>
      <c r="D12" s="66"/>
      <c r="E12" s="65"/>
      <c r="F12" s="65"/>
    </row>
    <row r="13">
      <c r="A13" s="7" t="s">
        <v>475</v>
      </c>
      <c r="B13" s="66" t="s">
        <v>476</v>
      </c>
      <c r="C13" s="66"/>
      <c r="D13" s="66"/>
      <c r="E13" s="65"/>
      <c r="F13" s="65"/>
    </row>
    <row r="14">
      <c r="A14" s="68" t="s">
        <v>478</v>
      </c>
      <c r="B14" s="71" t="s">
        <v>479</v>
      </c>
      <c r="C14" s="71" t="s">
        <v>480</v>
      </c>
      <c r="D14" s="66"/>
      <c r="E14" s="65"/>
      <c r="F14" s="65"/>
    </row>
    <row r="15">
      <c r="A15" s="7" t="s">
        <v>425</v>
      </c>
      <c r="B15" s="66" t="s">
        <v>633</v>
      </c>
      <c r="C15" s="66" t="s">
        <v>634</v>
      </c>
      <c r="D15" s="66"/>
      <c r="E15" s="65"/>
      <c r="F15" s="65"/>
    </row>
    <row r="16">
      <c r="A16" s="7" t="s">
        <v>490</v>
      </c>
      <c r="B16" s="66" t="s">
        <v>635</v>
      </c>
      <c r="C16" s="65"/>
      <c r="D16" s="65"/>
      <c r="E16" s="65"/>
    </row>
    <row r="17">
      <c r="A17" s="7" t="s">
        <v>581</v>
      </c>
      <c r="B17" s="66" t="s">
        <v>470</v>
      </c>
      <c r="C17" s="66" t="s">
        <v>637</v>
      </c>
    </row>
    <row r="18">
      <c r="B18" s="66"/>
      <c r="C18" s="66"/>
    </row>
    <row r="19">
      <c r="A19" s="7" t="s">
        <v>638</v>
      </c>
      <c r="B19" s="7" t="s">
        <v>639</v>
      </c>
      <c r="C19" s="66"/>
    </row>
    <row r="20">
      <c r="A20" s="7" t="s">
        <v>640</v>
      </c>
      <c r="B20" s="67" t="s">
        <v>641</v>
      </c>
      <c r="C20" s="65"/>
    </row>
    <row r="21">
      <c r="A21" s="7" t="s">
        <v>616</v>
      </c>
      <c r="B21" s="67">
        <v>2300.0</v>
      </c>
      <c r="C21" s="65"/>
    </row>
    <row r="22">
      <c r="C22" s="65"/>
    </row>
    <row r="23">
      <c r="C23" s="65"/>
    </row>
    <row r="24">
      <c r="C24" s="65"/>
    </row>
    <row r="25">
      <c r="C25" s="65"/>
    </row>
    <row r="26">
      <c r="C26" s="65"/>
    </row>
    <row r="27">
      <c r="C27" s="65"/>
    </row>
    <row r="28">
      <c r="C28" s="65"/>
    </row>
    <row r="29">
      <c r="C29" s="65"/>
    </row>
    <row r="30">
      <c r="C30" s="65"/>
    </row>
    <row r="31">
      <c r="C31" s="65"/>
    </row>
    <row r="32">
      <c r="C32" s="65"/>
    </row>
    <row r="33">
      <c r="C33" s="65"/>
    </row>
    <row r="34">
      <c r="C34" s="65"/>
    </row>
    <row r="35">
      <c r="C35" s="65"/>
    </row>
    <row r="36">
      <c r="C36" s="65"/>
    </row>
    <row r="37">
      <c r="C37" s="65"/>
    </row>
    <row r="38">
      <c r="C38" s="65"/>
    </row>
    <row r="39">
      <c r="C39" s="65"/>
    </row>
    <row r="40">
      <c r="C40" s="65"/>
    </row>
    <row r="41">
      <c r="C41" s="65"/>
    </row>
    <row r="42">
      <c r="C42" s="65"/>
    </row>
    <row r="43">
      <c r="C43" s="65"/>
    </row>
    <row r="44">
      <c r="C44" s="65"/>
    </row>
    <row r="45">
      <c r="C45" s="65"/>
    </row>
    <row r="46">
      <c r="C46" s="65"/>
    </row>
    <row r="47">
      <c r="C47" s="65"/>
    </row>
    <row r="48">
      <c r="C48" s="65"/>
    </row>
    <row r="49">
      <c r="C49" s="65"/>
    </row>
    <row r="50">
      <c r="C50" s="65"/>
    </row>
    <row r="51">
      <c r="C51" s="65"/>
    </row>
    <row r="52">
      <c r="C52" s="65"/>
    </row>
    <row r="53">
      <c r="C53" s="65"/>
    </row>
    <row r="54">
      <c r="C54" s="65"/>
    </row>
    <row r="55">
      <c r="C55" s="65"/>
    </row>
    <row r="56">
      <c r="C56" s="65"/>
    </row>
    <row r="57">
      <c r="C57" s="65"/>
    </row>
    <row r="58">
      <c r="C58" s="65"/>
    </row>
    <row r="59">
      <c r="C59" s="65"/>
    </row>
    <row r="60">
      <c r="C60" s="65"/>
    </row>
    <row r="61">
      <c r="C61" s="65"/>
    </row>
    <row r="62">
      <c r="C62" s="65"/>
    </row>
    <row r="63">
      <c r="C63" s="65"/>
    </row>
    <row r="64">
      <c r="C64" s="65"/>
    </row>
    <row r="65">
      <c r="C65" s="65"/>
    </row>
    <row r="66">
      <c r="C66" s="65"/>
    </row>
    <row r="67">
      <c r="C67" s="65"/>
    </row>
    <row r="68">
      <c r="C68" s="65"/>
    </row>
    <row r="69">
      <c r="C69" s="65"/>
    </row>
    <row r="70">
      <c r="C70" s="65"/>
    </row>
    <row r="71">
      <c r="C71" s="65"/>
    </row>
    <row r="72">
      <c r="C72" s="65"/>
    </row>
    <row r="73">
      <c r="C73" s="65"/>
    </row>
    <row r="74">
      <c r="C74" s="65"/>
    </row>
    <row r="75">
      <c r="C75" s="65"/>
    </row>
    <row r="76">
      <c r="C76" s="65"/>
    </row>
    <row r="77">
      <c r="C77" s="65"/>
    </row>
    <row r="78">
      <c r="C78" s="65"/>
    </row>
    <row r="79">
      <c r="C79" s="65"/>
    </row>
    <row r="80">
      <c r="C80" s="65"/>
    </row>
    <row r="81">
      <c r="C81" s="65"/>
    </row>
    <row r="82">
      <c r="C82" s="65"/>
    </row>
    <row r="83">
      <c r="C83" s="65"/>
    </row>
    <row r="84">
      <c r="C84" s="65"/>
    </row>
    <row r="85">
      <c r="C85" s="65"/>
    </row>
    <row r="86">
      <c r="C86" s="65"/>
    </row>
    <row r="87">
      <c r="C87" s="65"/>
    </row>
    <row r="88">
      <c r="C88" s="65"/>
    </row>
    <row r="89">
      <c r="C89" s="65"/>
    </row>
    <row r="90">
      <c r="C90" s="65"/>
    </row>
    <row r="91">
      <c r="C91" s="65"/>
    </row>
    <row r="92">
      <c r="C92" s="65"/>
    </row>
    <row r="93">
      <c r="C93" s="65"/>
    </row>
    <row r="94">
      <c r="C94" s="65"/>
    </row>
    <row r="95">
      <c r="C95" s="65"/>
    </row>
    <row r="96">
      <c r="C96" s="65"/>
    </row>
    <row r="97">
      <c r="C97" s="65"/>
    </row>
    <row r="98">
      <c r="C98" s="65"/>
    </row>
    <row r="99">
      <c r="C99" s="65"/>
    </row>
    <row r="100">
      <c r="C100" s="65"/>
    </row>
    <row r="101">
      <c r="C101" s="65"/>
    </row>
    <row r="102">
      <c r="C102" s="65"/>
    </row>
    <row r="103">
      <c r="C103" s="65"/>
    </row>
    <row r="104">
      <c r="C104" s="65"/>
    </row>
    <row r="105">
      <c r="C105" s="65"/>
    </row>
    <row r="106">
      <c r="C106" s="65"/>
    </row>
    <row r="107">
      <c r="C107" s="65"/>
    </row>
    <row r="108">
      <c r="C108" s="65"/>
    </row>
    <row r="109">
      <c r="C109" s="65"/>
    </row>
    <row r="110">
      <c r="C110" s="65"/>
    </row>
    <row r="111">
      <c r="C111" s="65"/>
    </row>
    <row r="112">
      <c r="C112" s="65"/>
    </row>
    <row r="113">
      <c r="C113" s="65"/>
    </row>
    <row r="114">
      <c r="C114" s="65"/>
    </row>
    <row r="115">
      <c r="C115" s="65"/>
    </row>
    <row r="116">
      <c r="C116" s="65"/>
    </row>
    <row r="117">
      <c r="C117" s="65"/>
    </row>
    <row r="118">
      <c r="C118" s="65"/>
    </row>
    <row r="119">
      <c r="C119" s="65"/>
    </row>
    <row r="120">
      <c r="C120" s="65"/>
    </row>
    <row r="121">
      <c r="C121" s="65"/>
    </row>
    <row r="122">
      <c r="C122" s="65"/>
    </row>
    <row r="123">
      <c r="C123" s="65"/>
    </row>
    <row r="124">
      <c r="C124" s="65"/>
    </row>
    <row r="125">
      <c r="C125" s="65"/>
    </row>
    <row r="126">
      <c r="C126" s="65"/>
    </row>
    <row r="127">
      <c r="C127" s="65"/>
    </row>
    <row r="128">
      <c r="C128" s="65"/>
    </row>
    <row r="129">
      <c r="C129" s="65"/>
    </row>
    <row r="130">
      <c r="C130" s="65"/>
    </row>
    <row r="131">
      <c r="C131" s="65"/>
    </row>
    <row r="132">
      <c r="C132" s="65"/>
    </row>
    <row r="133">
      <c r="C133" s="65"/>
    </row>
    <row r="134">
      <c r="C134" s="65"/>
    </row>
    <row r="135">
      <c r="C135" s="65"/>
    </row>
    <row r="136">
      <c r="C136" s="65"/>
    </row>
    <row r="137">
      <c r="C137" s="65"/>
    </row>
    <row r="138">
      <c r="C138" s="65"/>
    </row>
    <row r="139">
      <c r="C139" s="65"/>
    </row>
    <row r="140">
      <c r="C140" s="65"/>
    </row>
    <row r="141">
      <c r="C141" s="65"/>
    </row>
    <row r="142">
      <c r="C142" s="65"/>
    </row>
    <row r="143">
      <c r="C143" s="65"/>
    </row>
    <row r="144">
      <c r="C144" s="65"/>
    </row>
    <row r="145">
      <c r="C145" s="65"/>
    </row>
    <row r="146">
      <c r="C146" s="65"/>
    </row>
    <row r="147">
      <c r="C147" s="65"/>
    </row>
    <row r="148">
      <c r="C148" s="65"/>
    </row>
    <row r="149">
      <c r="C149" s="65"/>
    </row>
    <row r="150">
      <c r="C150" s="65"/>
    </row>
    <row r="151">
      <c r="C151" s="65"/>
    </row>
    <row r="152">
      <c r="C152" s="65"/>
    </row>
    <row r="153">
      <c r="C153" s="65"/>
    </row>
    <row r="154">
      <c r="C154" s="65"/>
    </row>
    <row r="155">
      <c r="C155" s="65"/>
    </row>
    <row r="156">
      <c r="C156" s="65"/>
    </row>
    <row r="157">
      <c r="C157" s="65"/>
    </row>
    <row r="158">
      <c r="C158" s="65"/>
    </row>
    <row r="159">
      <c r="C159" s="65"/>
    </row>
    <row r="160">
      <c r="C160" s="65"/>
    </row>
    <row r="161">
      <c r="C161" s="65"/>
    </row>
    <row r="162">
      <c r="C162" s="65"/>
    </row>
    <row r="163">
      <c r="C163" s="65"/>
    </row>
    <row r="164">
      <c r="C164" s="65"/>
    </row>
    <row r="165">
      <c r="C165" s="65"/>
    </row>
    <row r="166">
      <c r="C166" s="65"/>
    </row>
    <row r="167">
      <c r="C167" s="65"/>
    </row>
    <row r="168">
      <c r="C168" s="65"/>
    </row>
    <row r="169">
      <c r="C169" s="65"/>
    </row>
    <row r="170">
      <c r="C170" s="65"/>
    </row>
    <row r="171">
      <c r="C171" s="65"/>
    </row>
    <row r="172">
      <c r="C172" s="65"/>
    </row>
    <row r="173">
      <c r="C173" s="65"/>
    </row>
    <row r="174">
      <c r="C174" s="65"/>
    </row>
    <row r="175">
      <c r="C175" s="65"/>
    </row>
    <row r="176">
      <c r="C176" s="65"/>
    </row>
    <row r="177">
      <c r="C177" s="65"/>
    </row>
    <row r="178">
      <c r="C178" s="65"/>
    </row>
    <row r="179">
      <c r="C179" s="65"/>
    </row>
    <row r="180">
      <c r="C180" s="65"/>
    </row>
    <row r="181">
      <c r="C181" s="65"/>
    </row>
    <row r="182">
      <c r="C182" s="65"/>
    </row>
    <row r="183">
      <c r="C183" s="65"/>
    </row>
    <row r="184">
      <c r="C184" s="65"/>
    </row>
    <row r="185">
      <c r="C185" s="65"/>
    </row>
    <row r="186">
      <c r="C186" s="65"/>
    </row>
    <row r="187">
      <c r="C187" s="65"/>
    </row>
    <row r="188">
      <c r="C188" s="65"/>
    </row>
    <row r="189">
      <c r="C189" s="65"/>
    </row>
    <row r="190">
      <c r="C190" s="65"/>
    </row>
    <row r="191">
      <c r="C191" s="65"/>
    </row>
    <row r="192">
      <c r="C192" s="65"/>
    </row>
    <row r="193">
      <c r="C193" s="65"/>
    </row>
    <row r="194">
      <c r="C194" s="65"/>
    </row>
    <row r="195">
      <c r="C195" s="65"/>
    </row>
    <row r="196">
      <c r="C196" s="65"/>
    </row>
    <row r="197">
      <c r="C197" s="65"/>
    </row>
    <row r="198">
      <c r="C198" s="65"/>
    </row>
    <row r="199">
      <c r="C199" s="65"/>
    </row>
    <row r="200">
      <c r="C200" s="65"/>
    </row>
    <row r="201">
      <c r="C201" s="65"/>
    </row>
    <row r="202">
      <c r="C202" s="65"/>
    </row>
    <row r="203">
      <c r="C203" s="65"/>
    </row>
    <row r="204">
      <c r="C204" s="65"/>
    </row>
    <row r="205">
      <c r="C205" s="65"/>
    </row>
    <row r="206">
      <c r="C206" s="65"/>
    </row>
    <row r="207">
      <c r="C207" s="65"/>
    </row>
    <row r="208">
      <c r="C208" s="65"/>
    </row>
    <row r="209">
      <c r="C209" s="65"/>
    </row>
    <row r="210">
      <c r="C210" s="65"/>
    </row>
    <row r="211">
      <c r="C211" s="65"/>
    </row>
    <row r="212">
      <c r="C212" s="65"/>
    </row>
    <row r="213">
      <c r="C213" s="65"/>
    </row>
    <row r="214">
      <c r="C214" s="65"/>
    </row>
    <row r="215">
      <c r="C215" s="65"/>
    </row>
    <row r="216">
      <c r="C216" s="65"/>
    </row>
    <row r="217">
      <c r="C217" s="65"/>
    </row>
    <row r="218">
      <c r="C218" s="65"/>
    </row>
    <row r="219">
      <c r="C219" s="65"/>
    </row>
    <row r="220">
      <c r="C220" s="65"/>
    </row>
    <row r="221">
      <c r="C221" s="65"/>
    </row>
    <row r="222">
      <c r="C222" s="65"/>
    </row>
    <row r="223">
      <c r="C223" s="65"/>
    </row>
    <row r="224">
      <c r="C224" s="65"/>
    </row>
    <row r="225">
      <c r="C225" s="65"/>
    </row>
    <row r="226">
      <c r="C226" s="65"/>
    </row>
    <row r="227">
      <c r="C227" s="65"/>
    </row>
    <row r="228">
      <c r="C228" s="65"/>
    </row>
    <row r="229">
      <c r="C229" s="65"/>
    </row>
    <row r="230">
      <c r="C230" s="65"/>
    </row>
    <row r="231">
      <c r="C231" s="65"/>
    </row>
    <row r="232">
      <c r="C232" s="65"/>
    </row>
    <row r="233">
      <c r="C233" s="65"/>
    </row>
    <row r="234">
      <c r="C234" s="65"/>
    </row>
    <row r="235">
      <c r="C235" s="65"/>
    </row>
    <row r="236">
      <c r="C236" s="65"/>
    </row>
    <row r="237">
      <c r="C237" s="65"/>
    </row>
    <row r="238">
      <c r="C238" s="65"/>
    </row>
    <row r="239">
      <c r="C239" s="65"/>
    </row>
    <row r="240">
      <c r="C240" s="65"/>
    </row>
    <row r="241">
      <c r="C241" s="65"/>
    </row>
    <row r="242">
      <c r="C242" s="65"/>
    </row>
    <row r="243">
      <c r="C243" s="65"/>
    </row>
    <row r="244">
      <c r="C244" s="65"/>
    </row>
    <row r="245">
      <c r="C245" s="65"/>
    </row>
    <row r="246">
      <c r="C246" s="65"/>
    </row>
    <row r="247">
      <c r="C247" s="65"/>
    </row>
    <row r="248">
      <c r="C248" s="65"/>
    </row>
    <row r="249">
      <c r="C249" s="65"/>
    </row>
    <row r="250">
      <c r="C250" s="65"/>
    </row>
    <row r="251">
      <c r="C251" s="65"/>
    </row>
    <row r="252">
      <c r="C252" s="65"/>
    </row>
    <row r="253">
      <c r="C253" s="65"/>
    </row>
    <row r="254">
      <c r="C254" s="65"/>
    </row>
    <row r="255">
      <c r="C255" s="65"/>
    </row>
    <row r="256">
      <c r="C256" s="65"/>
    </row>
    <row r="257">
      <c r="C257" s="65"/>
    </row>
    <row r="258">
      <c r="C258" s="65"/>
    </row>
    <row r="259">
      <c r="C259" s="65"/>
    </row>
    <row r="260">
      <c r="C260" s="65"/>
    </row>
    <row r="261">
      <c r="C261" s="65"/>
    </row>
    <row r="262">
      <c r="C262" s="65"/>
    </row>
    <row r="263">
      <c r="C263" s="65"/>
    </row>
    <row r="264">
      <c r="C264" s="65"/>
    </row>
    <row r="265">
      <c r="C265" s="65"/>
    </row>
    <row r="266">
      <c r="C266" s="65"/>
    </row>
    <row r="267">
      <c r="C267" s="65"/>
    </row>
    <row r="268">
      <c r="C268" s="65"/>
    </row>
    <row r="269">
      <c r="C269" s="65"/>
    </row>
    <row r="270">
      <c r="C270" s="65"/>
    </row>
    <row r="271">
      <c r="C271" s="65"/>
    </row>
    <row r="272">
      <c r="C272" s="65"/>
    </row>
    <row r="273">
      <c r="C273" s="65"/>
    </row>
    <row r="274">
      <c r="C274" s="65"/>
    </row>
    <row r="275">
      <c r="C275" s="65"/>
    </row>
    <row r="276">
      <c r="C276" s="65"/>
    </row>
    <row r="277">
      <c r="C277" s="65"/>
    </row>
    <row r="278">
      <c r="C278" s="65"/>
    </row>
    <row r="279">
      <c r="C279" s="65"/>
    </row>
    <row r="280">
      <c r="C280" s="65"/>
    </row>
    <row r="281">
      <c r="C281" s="65"/>
    </row>
    <row r="282">
      <c r="C282" s="65"/>
    </row>
    <row r="283">
      <c r="C283" s="65"/>
    </row>
    <row r="284">
      <c r="C284" s="65"/>
    </row>
    <row r="285">
      <c r="C285" s="65"/>
    </row>
    <row r="286">
      <c r="C286" s="65"/>
    </row>
    <row r="287">
      <c r="C287" s="65"/>
    </row>
    <row r="288">
      <c r="C288" s="65"/>
    </row>
    <row r="289">
      <c r="C289" s="65"/>
    </row>
    <row r="290">
      <c r="C290" s="65"/>
    </row>
    <row r="291">
      <c r="C291" s="65"/>
    </row>
    <row r="292">
      <c r="C292" s="65"/>
    </row>
    <row r="293">
      <c r="C293" s="65"/>
    </row>
    <row r="294">
      <c r="C294" s="65"/>
    </row>
    <row r="295">
      <c r="C295" s="65"/>
    </row>
    <row r="296">
      <c r="C296" s="65"/>
    </row>
    <row r="297">
      <c r="C297" s="65"/>
    </row>
    <row r="298">
      <c r="C298" s="65"/>
    </row>
    <row r="299">
      <c r="C299" s="65"/>
    </row>
    <row r="300">
      <c r="C300" s="65"/>
    </row>
    <row r="301">
      <c r="C301" s="65"/>
    </row>
    <row r="302">
      <c r="C302" s="65"/>
    </row>
    <row r="303">
      <c r="C303" s="65"/>
    </row>
    <row r="304">
      <c r="C304" s="65"/>
    </row>
    <row r="305">
      <c r="C305" s="65"/>
    </row>
    <row r="306">
      <c r="C306" s="65"/>
    </row>
    <row r="307">
      <c r="C307" s="65"/>
    </row>
    <row r="308">
      <c r="C308" s="65"/>
    </row>
    <row r="309">
      <c r="C309" s="65"/>
    </row>
    <row r="310">
      <c r="C310" s="65"/>
    </row>
    <row r="311">
      <c r="C311" s="65"/>
    </row>
    <row r="312">
      <c r="C312" s="65"/>
    </row>
    <row r="313">
      <c r="C313" s="65"/>
    </row>
    <row r="314">
      <c r="C314" s="65"/>
    </row>
    <row r="315">
      <c r="C315" s="65"/>
    </row>
    <row r="316">
      <c r="C316" s="65"/>
    </row>
    <row r="317">
      <c r="C317" s="65"/>
    </row>
    <row r="318">
      <c r="C318" s="65"/>
    </row>
    <row r="319">
      <c r="C319" s="65"/>
    </row>
    <row r="320">
      <c r="C320" s="65"/>
    </row>
    <row r="321">
      <c r="C321" s="65"/>
    </row>
    <row r="322">
      <c r="C322" s="65"/>
    </row>
    <row r="323">
      <c r="C323" s="65"/>
    </row>
    <row r="324">
      <c r="C324" s="65"/>
    </row>
    <row r="325">
      <c r="C325" s="65"/>
    </row>
    <row r="326">
      <c r="C326" s="65"/>
    </row>
    <row r="327">
      <c r="C327" s="65"/>
    </row>
    <row r="328">
      <c r="C328" s="65"/>
    </row>
    <row r="329">
      <c r="C329" s="65"/>
    </row>
    <row r="330">
      <c r="C330" s="65"/>
    </row>
    <row r="331">
      <c r="C331" s="65"/>
    </row>
    <row r="332">
      <c r="C332" s="65"/>
    </row>
    <row r="333">
      <c r="C333" s="65"/>
    </row>
    <row r="334">
      <c r="C334" s="65"/>
    </row>
    <row r="335">
      <c r="C335" s="65"/>
    </row>
    <row r="336">
      <c r="C336" s="65"/>
    </row>
    <row r="337">
      <c r="C337" s="65"/>
    </row>
    <row r="338">
      <c r="C338" s="65"/>
    </row>
    <row r="339">
      <c r="C339" s="65"/>
    </row>
    <row r="340">
      <c r="C340" s="65"/>
    </row>
    <row r="341">
      <c r="C341" s="65"/>
    </row>
    <row r="342">
      <c r="C342" s="65"/>
    </row>
    <row r="343">
      <c r="C343" s="65"/>
    </row>
    <row r="344">
      <c r="C344" s="65"/>
    </row>
    <row r="345">
      <c r="C345" s="65"/>
    </row>
    <row r="346">
      <c r="C346" s="65"/>
    </row>
    <row r="347">
      <c r="C347" s="65"/>
    </row>
    <row r="348">
      <c r="C348" s="65"/>
    </row>
    <row r="349">
      <c r="C349" s="65"/>
    </row>
    <row r="350">
      <c r="C350" s="65"/>
    </row>
    <row r="351">
      <c r="C351" s="65"/>
    </row>
    <row r="352">
      <c r="C352" s="65"/>
    </row>
    <row r="353">
      <c r="C353" s="65"/>
    </row>
    <row r="354">
      <c r="C354" s="65"/>
    </row>
    <row r="355">
      <c r="C355" s="65"/>
    </row>
    <row r="356">
      <c r="C356" s="65"/>
    </row>
    <row r="357">
      <c r="C357" s="65"/>
    </row>
    <row r="358">
      <c r="C358" s="65"/>
    </row>
    <row r="359">
      <c r="C359" s="65"/>
    </row>
    <row r="360">
      <c r="C360" s="65"/>
    </row>
    <row r="361">
      <c r="C361" s="65"/>
    </row>
    <row r="362">
      <c r="C362" s="65"/>
    </row>
    <row r="363">
      <c r="C363" s="65"/>
    </row>
    <row r="364">
      <c r="C364" s="65"/>
    </row>
    <row r="365">
      <c r="C365" s="65"/>
    </row>
    <row r="366">
      <c r="C366" s="65"/>
    </row>
    <row r="367">
      <c r="C367" s="65"/>
    </row>
    <row r="368">
      <c r="C368" s="65"/>
    </row>
    <row r="369">
      <c r="C369" s="65"/>
    </row>
    <row r="370">
      <c r="C370" s="65"/>
    </row>
    <row r="371">
      <c r="C371" s="65"/>
    </row>
    <row r="372">
      <c r="C372" s="65"/>
    </row>
    <row r="373">
      <c r="C373" s="65"/>
    </row>
    <row r="374">
      <c r="C374" s="65"/>
    </row>
    <row r="375">
      <c r="C375" s="65"/>
    </row>
    <row r="376">
      <c r="C376" s="65"/>
    </row>
    <row r="377">
      <c r="C377" s="65"/>
    </row>
    <row r="378">
      <c r="C378" s="65"/>
    </row>
    <row r="379">
      <c r="C379" s="65"/>
    </row>
    <row r="380">
      <c r="C380" s="65"/>
    </row>
    <row r="381">
      <c r="C381" s="65"/>
    </row>
    <row r="382">
      <c r="C382" s="65"/>
    </row>
    <row r="383">
      <c r="C383" s="65"/>
    </row>
    <row r="384">
      <c r="C384" s="65"/>
    </row>
    <row r="385">
      <c r="C385" s="65"/>
    </row>
    <row r="386">
      <c r="C386" s="65"/>
    </row>
    <row r="387">
      <c r="C387" s="65"/>
    </row>
    <row r="388">
      <c r="C388" s="65"/>
    </row>
    <row r="389">
      <c r="C389" s="65"/>
    </row>
    <row r="390">
      <c r="C390" s="65"/>
    </row>
    <row r="391">
      <c r="C391" s="65"/>
    </row>
    <row r="392">
      <c r="C392" s="65"/>
    </row>
    <row r="393">
      <c r="C393" s="65"/>
    </row>
    <row r="394">
      <c r="C394" s="65"/>
    </row>
    <row r="395">
      <c r="C395" s="65"/>
    </row>
    <row r="396">
      <c r="C396" s="65"/>
    </row>
    <row r="397">
      <c r="C397" s="65"/>
    </row>
    <row r="398">
      <c r="C398" s="65"/>
    </row>
    <row r="399">
      <c r="C399" s="65"/>
    </row>
    <row r="400">
      <c r="C400" s="65"/>
    </row>
    <row r="401">
      <c r="C401" s="65"/>
    </row>
    <row r="402">
      <c r="C402" s="65"/>
    </row>
    <row r="403">
      <c r="C403" s="65"/>
    </row>
    <row r="404">
      <c r="C404" s="65"/>
    </row>
    <row r="405">
      <c r="C405" s="65"/>
    </row>
    <row r="406">
      <c r="C406" s="65"/>
    </row>
    <row r="407">
      <c r="C407" s="65"/>
    </row>
    <row r="408">
      <c r="C408" s="65"/>
    </row>
    <row r="409">
      <c r="C409" s="65"/>
    </row>
    <row r="410">
      <c r="C410" s="65"/>
    </row>
    <row r="411">
      <c r="C411" s="65"/>
    </row>
    <row r="412">
      <c r="C412" s="65"/>
    </row>
    <row r="413">
      <c r="C413" s="65"/>
    </row>
    <row r="414">
      <c r="C414" s="65"/>
    </row>
    <row r="415">
      <c r="C415" s="65"/>
    </row>
    <row r="416">
      <c r="C416" s="65"/>
    </row>
    <row r="417">
      <c r="C417" s="65"/>
    </row>
    <row r="418">
      <c r="C418" s="65"/>
    </row>
    <row r="419">
      <c r="C419" s="65"/>
    </row>
    <row r="420">
      <c r="C420" s="65"/>
    </row>
    <row r="421">
      <c r="C421" s="65"/>
    </row>
    <row r="422">
      <c r="C422" s="65"/>
    </row>
    <row r="423">
      <c r="C423" s="65"/>
    </row>
    <row r="424">
      <c r="C424" s="65"/>
    </row>
    <row r="425">
      <c r="C425" s="65"/>
    </row>
    <row r="426">
      <c r="C426" s="65"/>
    </row>
    <row r="427">
      <c r="C427" s="65"/>
    </row>
    <row r="428">
      <c r="C428" s="65"/>
    </row>
    <row r="429">
      <c r="C429" s="65"/>
    </row>
    <row r="430">
      <c r="C430" s="65"/>
    </row>
    <row r="431">
      <c r="C431" s="65"/>
    </row>
    <row r="432">
      <c r="C432" s="65"/>
    </row>
    <row r="433">
      <c r="C433" s="65"/>
    </row>
    <row r="434">
      <c r="C434" s="65"/>
    </row>
    <row r="435">
      <c r="C435" s="65"/>
    </row>
    <row r="436">
      <c r="C436" s="65"/>
    </row>
    <row r="437">
      <c r="C437" s="65"/>
    </row>
    <row r="438">
      <c r="C438" s="65"/>
    </row>
    <row r="439">
      <c r="C439" s="65"/>
    </row>
    <row r="440">
      <c r="C440" s="65"/>
    </row>
    <row r="441">
      <c r="C441" s="65"/>
    </row>
    <row r="442">
      <c r="C442" s="65"/>
    </row>
    <row r="443">
      <c r="C443" s="65"/>
    </row>
    <row r="444">
      <c r="C444" s="65"/>
    </row>
    <row r="445">
      <c r="C445" s="65"/>
    </row>
    <row r="446">
      <c r="C446" s="65"/>
    </row>
    <row r="447">
      <c r="C447" s="65"/>
    </row>
    <row r="448">
      <c r="C448" s="65"/>
    </row>
    <row r="449">
      <c r="C449" s="65"/>
    </row>
    <row r="450">
      <c r="C450" s="65"/>
    </row>
    <row r="451">
      <c r="C451" s="65"/>
    </row>
    <row r="452">
      <c r="C452" s="65"/>
    </row>
    <row r="453">
      <c r="C453" s="65"/>
    </row>
    <row r="454">
      <c r="C454" s="65"/>
    </row>
    <row r="455">
      <c r="C455" s="65"/>
    </row>
    <row r="456">
      <c r="C456" s="65"/>
    </row>
    <row r="457">
      <c r="C457" s="65"/>
    </row>
    <row r="458">
      <c r="C458" s="65"/>
    </row>
    <row r="459">
      <c r="C459" s="65"/>
    </row>
    <row r="460">
      <c r="C460" s="65"/>
    </row>
    <row r="461">
      <c r="C461" s="65"/>
    </row>
    <row r="462">
      <c r="C462" s="65"/>
    </row>
    <row r="463">
      <c r="C463" s="65"/>
    </row>
    <row r="464">
      <c r="C464" s="65"/>
    </row>
    <row r="465">
      <c r="C465" s="65"/>
    </row>
    <row r="466">
      <c r="C466" s="65"/>
    </row>
    <row r="467">
      <c r="C467" s="65"/>
    </row>
    <row r="468">
      <c r="C468" s="65"/>
    </row>
    <row r="469">
      <c r="C469" s="65"/>
    </row>
    <row r="470">
      <c r="C470" s="65"/>
    </row>
    <row r="471">
      <c r="C471" s="65"/>
    </row>
    <row r="472">
      <c r="C472" s="65"/>
    </row>
    <row r="473">
      <c r="C473" s="65"/>
    </row>
    <row r="474">
      <c r="C474" s="65"/>
    </row>
    <row r="475">
      <c r="C475" s="65"/>
    </row>
    <row r="476">
      <c r="C476" s="65"/>
    </row>
    <row r="477">
      <c r="C477" s="65"/>
    </row>
    <row r="478">
      <c r="C478" s="65"/>
    </row>
    <row r="479">
      <c r="C479" s="65"/>
    </row>
    <row r="480">
      <c r="C480" s="65"/>
    </row>
    <row r="481">
      <c r="C481" s="65"/>
    </row>
    <row r="482">
      <c r="C482" s="65"/>
    </row>
    <row r="483">
      <c r="C483" s="65"/>
    </row>
    <row r="484">
      <c r="C484" s="65"/>
    </row>
    <row r="485">
      <c r="C485" s="65"/>
    </row>
    <row r="486">
      <c r="C486" s="65"/>
    </row>
    <row r="487">
      <c r="C487" s="65"/>
    </row>
    <row r="488">
      <c r="C488" s="65"/>
    </row>
    <row r="489">
      <c r="C489" s="65"/>
    </row>
    <row r="490">
      <c r="C490" s="65"/>
    </row>
    <row r="491">
      <c r="C491" s="65"/>
    </row>
    <row r="492">
      <c r="C492" s="65"/>
    </row>
    <row r="493">
      <c r="C493" s="65"/>
    </row>
    <row r="494">
      <c r="C494" s="65"/>
    </row>
    <row r="495">
      <c r="C495" s="65"/>
    </row>
    <row r="496">
      <c r="C496" s="65"/>
    </row>
    <row r="497">
      <c r="C497" s="65"/>
    </row>
    <row r="498">
      <c r="C498" s="65"/>
    </row>
    <row r="499">
      <c r="C499" s="65"/>
    </row>
    <row r="500">
      <c r="C500" s="65"/>
    </row>
    <row r="501">
      <c r="C501" s="65"/>
    </row>
    <row r="502">
      <c r="C502" s="65"/>
    </row>
    <row r="503">
      <c r="C503" s="65"/>
    </row>
    <row r="504">
      <c r="C504" s="65"/>
    </row>
    <row r="505">
      <c r="C505" s="65"/>
    </row>
    <row r="506">
      <c r="C506" s="65"/>
    </row>
    <row r="507">
      <c r="C507" s="65"/>
    </row>
    <row r="508">
      <c r="C508" s="65"/>
    </row>
    <row r="509">
      <c r="C509" s="65"/>
    </row>
    <row r="510">
      <c r="C510" s="65"/>
    </row>
    <row r="511">
      <c r="C511" s="65"/>
    </row>
    <row r="512">
      <c r="C512" s="65"/>
    </row>
    <row r="513">
      <c r="C513" s="65"/>
    </row>
    <row r="514">
      <c r="C514" s="65"/>
    </row>
    <row r="515">
      <c r="C515" s="65"/>
    </row>
    <row r="516">
      <c r="C516" s="65"/>
    </row>
    <row r="517">
      <c r="C517" s="65"/>
    </row>
    <row r="518">
      <c r="C518" s="65"/>
    </row>
    <row r="519">
      <c r="C519" s="65"/>
    </row>
    <row r="520">
      <c r="C520" s="65"/>
    </row>
    <row r="521">
      <c r="C521" s="65"/>
    </row>
    <row r="522">
      <c r="C522" s="65"/>
    </row>
    <row r="523">
      <c r="C523" s="65"/>
    </row>
    <row r="524">
      <c r="C524" s="65"/>
    </row>
    <row r="525">
      <c r="C525" s="65"/>
    </row>
    <row r="526">
      <c r="C526" s="65"/>
    </row>
    <row r="527">
      <c r="C527" s="65"/>
    </row>
    <row r="528">
      <c r="C528" s="65"/>
    </row>
    <row r="529">
      <c r="C529" s="65"/>
    </row>
    <row r="530">
      <c r="C530" s="65"/>
    </row>
    <row r="531">
      <c r="C531" s="65"/>
    </row>
    <row r="532">
      <c r="C532" s="65"/>
    </row>
    <row r="533">
      <c r="C533" s="65"/>
    </row>
    <row r="534">
      <c r="C534" s="65"/>
    </row>
    <row r="535">
      <c r="C535" s="65"/>
    </row>
    <row r="536">
      <c r="C536" s="65"/>
    </row>
    <row r="537">
      <c r="C537" s="65"/>
    </row>
    <row r="538">
      <c r="C538" s="65"/>
    </row>
    <row r="539">
      <c r="C539" s="65"/>
    </row>
    <row r="540">
      <c r="C540" s="65"/>
    </row>
    <row r="541">
      <c r="C541" s="65"/>
    </row>
    <row r="542">
      <c r="C542" s="65"/>
    </row>
    <row r="543">
      <c r="C543" s="65"/>
    </row>
    <row r="544">
      <c r="C544" s="65"/>
    </row>
    <row r="545">
      <c r="C545" s="65"/>
    </row>
    <row r="546">
      <c r="C546" s="65"/>
    </row>
    <row r="547">
      <c r="C547" s="65"/>
    </row>
    <row r="548">
      <c r="C548" s="65"/>
    </row>
    <row r="549">
      <c r="C549" s="65"/>
    </row>
    <row r="550">
      <c r="C550" s="65"/>
    </row>
    <row r="551">
      <c r="C551" s="65"/>
    </row>
    <row r="552">
      <c r="C552" s="65"/>
    </row>
    <row r="553">
      <c r="C553" s="65"/>
    </row>
    <row r="554">
      <c r="C554" s="65"/>
    </row>
    <row r="555">
      <c r="C555" s="65"/>
    </row>
    <row r="556">
      <c r="C556" s="65"/>
    </row>
    <row r="557">
      <c r="C557" s="65"/>
    </row>
    <row r="558">
      <c r="C558" s="65"/>
    </row>
    <row r="559">
      <c r="C559" s="65"/>
    </row>
    <row r="560">
      <c r="C560" s="65"/>
    </row>
    <row r="561">
      <c r="C561" s="65"/>
    </row>
    <row r="562">
      <c r="C562" s="65"/>
    </row>
    <row r="563">
      <c r="C563" s="65"/>
    </row>
    <row r="564">
      <c r="C564" s="65"/>
    </row>
    <row r="565">
      <c r="C565" s="65"/>
    </row>
    <row r="566">
      <c r="C566" s="65"/>
    </row>
    <row r="567">
      <c r="C567" s="65"/>
    </row>
    <row r="568">
      <c r="C568" s="65"/>
    </row>
    <row r="569">
      <c r="C569" s="65"/>
    </row>
    <row r="570">
      <c r="C570" s="65"/>
    </row>
    <row r="571">
      <c r="C571" s="65"/>
    </row>
    <row r="572">
      <c r="C572" s="65"/>
    </row>
    <row r="573">
      <c r="C573" s="65"/>
    </row>
    <row r="574">
      <c r="C574" s="65"/>
    </row>
    <row r="575">
      <c r="C575" s="65"/>
    </row>
    <row r="576">
      <c r="C576" s="65"/>
    </row>
    <row r="577">
      <c r="C577" s="65"/>
    </row>
    <row r="578">
      <c r="C578" s="65"/>
    </row>
    <row r="579">
      <c r="C579" s="65"/>
    </row>
    <row r="580">
      <c r="C580" s="65"/>
    </row>
    <row r="581">
      <c r="C581" s="65"/>
    </row>
    <row r="582">
      <c r="C582" s="65"/>
    </row>
    <row r="583">
      <c r="C583" s="65"/>
    </row>
    <row r="584">
      <c r="C584" s="65"/>
    </row>
    <row r="585">
      <c r="C585" s="65"/>
    </row>
    <row r="586">
      <c r="C586" s="65"/>
    </row>
    <row r="587">
      <c r="C587" s="65"/>
    </row>
    <row r="588">
      <c r="C588" s="65"/>
    </row>
    <row r="589">
      <c r="C589" s="65"/>
    </row>
    <row r="590">
      <c r="C590" s="65"/>
    </row>
    <row r="591">
      <c r="C591" s="65"/>
    </row>
    <row r="592">
      <c r="C592" s="65"/>
    </row>
    <row r="593">
      <c r="C593" s="65"/>
    </row>
    <row r="594">
      <c r="C594" s="65"/>
    </row>
    <row r="595">
      <c r="C595" s="65"/>
    </row>
    <row r="596">
      <c r="C596" s="65"/>
    </row>
    <row r="597">
      <c r="C597" s="65"/>
    </row>
    <row r="598">
      <c r="C598" s="65"/>
    </row>
    <row r="599">
      <c r="C599" s="65"/>
    </row>
    <row r="600">
      <c r="C600" s="65"/>
    </row>
    <row r="601">
      <c r="C601" s="65"/>
    </row>
    <row r="602">
      <c r="C602" s="65"/>
    </row>
    <row r="603">
      <c r="C603" s="65"/>
    </row>
    <row r="604">
      <c r="C604" s="65"/>
    </row>
    <row r="605">
      <c r="C605" s="65"/>
    </row>
    <row r="606">
      <c r="C606" s="65"/>
    </row>
    <row r="607">
      <c r="C607" s="65"/>
    </row>
    <row r="608">
      <c r="C608" s="65"/>
    </row>
    <row r="609">
      <c r="C609" s="65"/>
    </row>
    <row r="610">
      <c r="C610" s="65"/>
    </row>
    <row r="611">
      <c r="C611" s="65"/>
    </row>
    <row r="612">
      <c r="C612" s="65"/>
    </row>
    <row r="613">
      <c r="C613" s="65"/>
    </row>
    <row r="614">
      <c r="C614" s="65"/>
    </row>
    <row r="615">
      <c r="C615" s="65"/>
    </row>
    <row r="616">
      <c r="C616" s="65"/>
    </row>
    <row r="617">
      <c r="C617" s="65"/>
    </row>
    <row r="618">
      <c r="C618" s="65"/>
    </row>
    <row r="619">
      <c r="C619" s="65"/>
    </row>
    <row r="620">
      <c r="C620" s="65"/>
    </row>
    <row r="621">
      <c r="C621" s="65"/>
    </row>
    <row r="622">
      <c r="C622" s="65"/>
    </row>
    <row r="623">
      <c r="C623" s="65"/>
    </row>
    <row r="624">
      <c r="C624" s="65"/>
    </row>
    <row r="625">
      <c r="C625" s="65"/>
    </row>
    <row r="626">
      <c r="C626" s="65"/>
    </row>
    <row r="627">
      <c r="C627" s="65"/>
    </row>
    <row r="628">
      <c r="C628" s="65"/>
    </row>
    <row r="629">
      <c r="C629" s="65"/>
    </row>
    <row r="630">
      <c r="C630" s="65"/>
    </row>
    <row r="631">
      <c r="C631" s="65"/>
    </row>
    <row r="632">
      <c r="C632" s="65"/>
    </row>
    <row r="633">
      <c r="C633" s="65"/>
    </row>
    <row r="634">
      <c r="C634" s="65"/>
    </row>
    <row r="635">
      <c r="C635" s="65"/>
    </row>
    <row r="636">
      <c r="C636" s="65"/>
    </row>
    <row r="637">
      <c r="C637" s="65"/>
    </row>
    <row r="638">
      <c r="C638" s="65"/>
    </row>
    <row r="639">
      <c r="C639" s="65"/>
    </row>
    <row r="640">
      <c r="C640" s="65"/>
    </row>
    <row r="641">
      <c r="C641" s="65"/>
    </row>
    <row r="642">
      <c r="C642" s="65"/>
    </row>
    <row r="643">
      <c r="C643" s="65"/>
    </row>
    <row r="644">
      <c r="C644" s="65"/>
    </row>
    <row r="645">
      <c r="C645" s="65"/>
    </row>
    <row r="646">
      <c r="C646" s="65"/>
    </row>
    <row r="647">
      <c r="C647" s="65"/>
    </row>
    <row r="648">
      <c r="C648" s="65"/>
    </row>
    <row r="649">
      <c r="C649" s="65"/>
    </row>
    <row r="650">
      <c r="C650" s="65"/>
    </row>
    <row r="651">
      <c r="C651" s="65"/>
    </row>
    <row r="652">
      <c r="C652" s="65"/>
    </row>
    <row r="653">
      <c r="C653" s="65"/>
    </row>
    <row r="654">
      <c r="C654" s="65"/>
    </row>
    <row r="655">
      <c r="C655" s="65"/>
    </row>
    <row r="656">
      <c r="C656" s="65"/>
    </row>
    <row r="657">
      <c r="C657" s="65"/>
    </row>
    <row r="658">
      <c r="C658" s="65"/>
    </row>
    <row r="659">
      <c r="C659" s="65"/>
    </row>
    <row r="660">
      <c r="C660" s="65"/>
    </row>
    <row r="661">
      <c r="C661" s="65"/>
    </row>
    <row r="662">
      <c r="C662" s="65"/>
    </row>
    <row r="663">
      <c r="C663" s="65"/>
    </row>
    <row r="664">
      <c r="C664" s="65"/>
    </row>
    <row r="665">
      <c r="C665" s="65"/>
    </row>
    <row r="666">
      <c r="C666" s="65"/>
    </row>
    <row r="667">
      <c r="C667" s="65"/>
    </row>
    <row r="668">
      <c r="C668" s="65"/>
    </row>
    <row r="669">
      <c r="C669" s="65"/>
    </row>
    <row r="670">
      <c r="C670" s="65"/>
    </row>
    <row r="671">
      <c r="C671" s="65"/>
    </row>
    <row r="672">
      <c r="C672" s="65"/>
    </row>
    <row r="673">
      <c r="C673" s="65"/>
    </row>
    <row r="674">
      <c r="C674" s="65"/>
    </row>
    <row r="675">
      <c r="C675" s="65"/>
    </row>
    <row r="676">
      <c r="C676" s="65"/>
    </row>
    <row r="677">
      <c r="C677" s="65"/>
    </row>
    <row r="678">
      <c r="C678" s="65"/>
    </row>
    <row r="679">
      <c r="C679" s="65"/>
    </row>
    <row r="680">
      <c r="C680" s="65"/>
    </row>
    <row r="681">
      <c r="C681" s="65"/>
    </row>
    <row r="682">
      <c r="C682" s="65"/>
    </row>
    <row r="683">
      <c r="C683" s="65"/>
    </row>
    <row r="684">
      <c r="C684" s="65"/>
    </row>
    <row r="685">
      <c r="C685" s="65"/>
    </row>
    <row r="686">
      <c r="C686" s="65"/>
    </row>
    <row r="687">
      <c r="C687" s="65"/>
    </row>
    <row r="688">
      <c r="C688" s="65"/>
    </row>
    <row r="689">
      <c r="C689" s="65"/>
    </row>
    <row r="690">
      <c r="C690" s="65"/>
    </row>
    <row r="691">
      <c r="C691" s="65"/>
    </row>
    <row r="692">
      <c r="C692" s="65"/>
    </row>
    <row r="693">
      <c r="C693" s="65"/>
    </row>
    <row r="694">
      <c r="C694" s="65"/>
    </row>
    <row r="695">
      <c r="C695" s="65"/>
    </row>
    <row r="696">
      <c r="C696" s="65"/>
    </row>
    <row r="697">
      <c r="C697" s="65"/>
    </row>
    <row r="698">
      <c r="C698" s="65"/>
    </row>
    <row r="699">
      <c r="C699" s="65"/>
    </row>
    <row r="700">
      <c r="C700" s="65"/>
    </row>
    <row r="701">
      <c r="C701" s="65"/>
    </row>
    <row r="702">
      <c r="C702" s="65"/>
    </row>
    <row r="703">
      <c r="C703" s="65"/>
    </row>
    <row r="704">
      <c r="C704" s="65"/>
    </row>
    <row r="705">
      <c r="C705" s="65"/>
    </row>
    <row r="706">
      <c r="C706" s="65"/>
    </row>
    <row r="707">
      <c r="C707" s="65"/>
    </row>
    <row r="708">
      <c r="C708" s="65"/>
    </row>
    <row r="709">
      <c r="C709" s="65"/>
    </row>
    <row r="710">
      <c r="C710" s="65"/>
    </row>
    <row r="711">
      <c r="C711" s="65"/>
    </row>
    <row r="712">
      <c r="C712" s="65"/>
    </row>
    <row r="713">
      <c r="C713" s="65"/>
    </row>
    <row r="714">
      <c r="C714" s="65"/>
    </row>
    <row r="715">
      <c r="C715" s="65"/>
    </row>
    <row r="716">
      <c r="C716" s="65"/>
    </row>
    <row r="717">
      <c r="C717" s="65"/>
    </row>
    <row r="718">
      <c r="C718" s="65"/>
    </row>
    <row r="719">
      <c r="C719" s="65"/>
    </row>
    <row r="720">
      <c r="C720" s="65"/>
    </row>
    <row r="721">
      <c r="C721" s="65"/>
    </row>
    <row r="722">
      <c r="C722" s="65"/>
    </row>
    <row r="723">
      <c r="C723" s="65"/>
    </row>
    <row r="724">
      <c r="C724" s="65"/>
    </row>
    <row r="725">
      <c r="C725" s="65"/>
    </row>
    <row r="726">
      <c r="C726" s="65"/>
    </row>
    <row r="727">
      <c r="C727" s="65"/>
    </row>
    <row r="728">
      <c r="C728" s="65"/>
    </row>
    <row r="729">
      <c r="C729" s="65"/>
    </row>
    <row r="730">
      <c r="C730" s="65"/>
    </row>
    <row r="731">
      <c r="C731" s="65"/>
    </row>
    <row r="732">
      <c r="C732" s="65"/>
    </row>
    <row r="733">
      <c r="C733" s="65"/>
    </row>
    <row r="734">
      <c r="C734" s="65"/>
    </row>
    <row r="735">
      <c r="C735" s="65"/>
    </row>
    <row r="736">
      <c r="C736" s="65"/>
    </row>
    <row r="737">
      <c r="C737" s="65"/>
    </row>
    <row r="738">
      <c r="C738" s="65"/>
    </row>
    <row r="739">
      <c r="C739" s="65"/>
    </row>
    <row r="740">
      <c r="C740" s="65"/>
    </row>
    <row r="741">
      <c r="C741" s="65"/>
    </row>
    <row r="742">
      <c r="C742" s="65"/>
    </row>
    <row r="743">
      <c r="C743" s="65"/>
    </row>
    <row r="744">
      <c r="C744" s="65"/>
    </row>
    <row r="745">
      <c r="C745" s="65"/>
    </row>
    <row r="746">
      <c r="C746" s="65"/>
    </row>
    <row r="747">
      <c r="C747" s="65"/>
    </row>
    <row r="748">
      <c r="C748" s="65"/>
    </row>
    <row r="749">
      <c r="C749" s="65"/>
    </row>
    <row r="750">
      <c r="C750" s="65"/>
    </row>
    <row r="751">
      <c r="C751" s="65"/>
    </row>
    <row r="752">
      <c r="C752" s="65"/>
    </row>
    <row r="753">
      <c r="C753" s="65"/>
    </row>
    <row r="754">
      <c r="C754" s="65"/>
    </row>
    <row r="755">
      <c r="C755" s="65"/>
    </row>
    <row r="756">
      <c r="C756" s="65"/>
    </row>
    <row r="757">
      <c r="C757" s="65"/>
    </row>
    <row r="758">
      <c r="C758" s="65"/>
    </row>
    <row r="759">
      <c r="C759" s="65"/>
    </row>
    <row r="760">
      <c r="C760" s="65"/>
    </row>
    <row r="761">
      <c r="C761" s="65"/>
    </row>
    <row r="762">
      <c r="C762" s="65"/>
    </row>
    <row r="763">
      <c r="C763" s="65"/>
    </row>
    <row r="764">
      <c r="C764" s="65"/>
    </row>
    <row r="765">
      <c r="C765" s="65"/>
    </row>
    <row r="766">
      <c r="C766" s="65"/>
    </row>
    <row r="767">
      <c r="C767" s="65"/>
    </row>
    <row r="768">
      <c r="C768" s="65"/>
    </row>
    <row r="769">
      <c r="C769" s="65"/>
    </row>
    <row r="770">
      <c r="C770" s="65"/>
    </row>
    <row r="771">
      <c r="C771" s="65"/>
    </row>
    <row r="772">
      <c r="C772" s="65"/>
    </row>
    <row r="773">
      <c r="C773" s="65"/>
    </row>
    <row r="774">
      <c r="C774" s="65"/>
    </row>
    <row r="775">
      <c r="C775" s="65"/>
    </row>
    <row r="776">
      <c r="C776" s="65"/>
    </row>
    <row r="777">
      <c r="C777" s="65"/>
    </row>
    <row r="778">
      <c r="C778" s="65"/>
    </row>
    <row r="779">
      <c r="C779" s="65"/>
    </row>
    <row r="780">
      <c r="C780" s="65"/>
    </row>
    <row r="781">
      <c r="C781" s="65"/>
    </row>
    <row r="782">
      <c r="C782" s="65"/>
    </row>
    <row r="783">
      <c r="C783" s="65"/>
    </row>
    <row r="784">
      <c r="C784" s="65"/>
    </row>
    <row r="785">
      <c r="C785" s="65"/>
    </row>
    <row r="786">
      <c r="C786" s="65"/>
    </row>
    <row r="787">
      <c r="C787" s="65"/>
    </row>
    <row r="788">
      <c r="C788" s="65"/>
    </row>
    <row r="789">
      <c r="C789" s="65"/>
    </row>
    <row r="790">
      <c r="C790" s="65"/>
    </row>
    <row r="791">
      <c r="C791" s="65"/>
    </row>
    <row r="792">
      <c r="C792" s="65"/>
    </row>
    <row r="793">
      <c r="C793" s="65"/>
    </row>
    <row r="794">
      <c r="C794" s="65"/>
    </row>
    <row r="795">
      <c r="C795" s="65"/>
    </row>
    <row r="796">
      <c r="C796" s="65"/>
    </row>
    <row r="797">
      <c r="C797" s="65"/>
    </row>
    <row r="798">
      <c r="C798" s="65"/>
    </row>
    <row r="799">
      <c r="C799" s="65"/>
    </row>
    <row r="800">
      <c r="C800" s="65"/>
    </row>
    <row r="801">
      <c r="C801" s="65"/>
    </row>
    <row r="802">
      <c r="C802" s="65"/>
    </row>
    <row r="803">
      <c r="C803" s="65"/>
    </row>
    <row r="804">
      <c r="C804" s="65"/>
    </row>
    <row r="805">
      <c r="C805" s="65"/>
    </row>
    <row r="806">
      <c r="C806" s="65"/>
    </row>
    <row r="807">
      <c r="C807" s="65"/>
    </row>
    <row r="808">
      <c r="C808" s="65"/>
    </row>
    <row r="809">
      <c r="C809" s="65"/>
    </row>
    <row r="810">
      <c r="C810" s="65"/>
    </row>
    <row r="811">
      <c r="C811" s="65"/>
    </row>
    <row r="812">
      <c r="C812" s="65"/>
    </row>
    <row r="813">
      <c r="C813" s="65"/>
    </row>
    <row r="814">
      <c r="C814" s="65"/>
    </row>
    <row r="815">
      <c r="C815" s="65"/>
    </row>
    <row r="816">
      <c r="C816" s="65"/>
    </row>
    <row r="817">
      <c r="C817" s="65"/>
    </row>
    <row r="818">
      <c r="C818" s="65"/>
    </row>
    <row r="819">
      <c r="C819" s="65"/>
    </row>
    <row r="820">
      <c r="C820" s="65"/>
    </row>
    <row r="821">
      <c r="C821" s="65"/>
    </row>
    <row r="822">
      <c r="C822" s="65"/>
    </row>
    <row r="823">
      <c r="C823" s="65"/>
    </row>
    <row r="824">
      <c r="C824" s="65"/>
    </row>
    <row r="825">
      <c r="C825" s="65"/>
    </row>
    <row r="826">
      <c r="C826" s="65"/>
    </row>
    <row r="827">
      <c r="C827" s="65"/>
    </row>
    <row r="828">
      <c r="C828" s="65"/>
    </row>
    <row r="829">
      <c r="C829" s="65"/>
    </row>
    <row r="830">
      <c r="C830" s="65"/>
    </row>
    <row r="831">
      <c r="C831" s="65"/>
    </row>
    <row r="832">
      <c r="C832" s="65"/>
    </row>
    <row r="833">
      <c r="C833" s="65"/>
    </row>
    <row r="834">
      <c r="C834" s="65"/>
    </row>
    <row r="835">
      <c r="C835" s="65"/>
    </row>
    <row r="836">
      <c r="C836" s="65"/>
    </row>
    <row r="837">
      <c r="C837" s="65"/>
    </row>
    <row r="838">
      <c r="C838" s="65"/>
    </row>
    <row r="839">
      <c r="C839" s="65"/>
    </row>
    <row r="840">
      <c r="C840" s="65"/>
    </row>
    <row r="841">
      <c r="C841" s="65"/>
    </row>
    <row r="842">
      <c r="C842" s="65"/>
    </row>
    <row r="843">
      <c r="C843" s="65"/>
    </row>
    <row r="844">
      <c r="C844" s="65"/>
    </row>
    <row r="845">
      <c r="C845" s="65"/>
    </row>
    <row r="846">
      <c r="C846" s="65"/>
    </row>
    <row r="847">
      <c r="C847" s="65"/>
    </row>
    <row r="848">
      <c r="C848" s="65"/>
    </row>
    <row r="849">
      <c r="C849" s="65"/>
    </row>
    <row r="850">
      <c r="C850" s="65"/>
    </row>
    <row r="851">
      <c r="C851" s="65"/>
    </row>
    <row r="852">
      <c r="C852" s="65"/>
    </row>
    <row r="853">
      <c r="C853" s="65"/>
    </row>
    <row r="854">
      <c r="C854" s="65"/>
    </row>
    <row r="855">
      <c r="C855" s="65"/>
    </row>
    <row r="856">
      <c r="C856" s="65"/>
    </row>
    <row r="857">
      <c r="C857" s="65"/>
    </row>
    <row r="858">
      <c r="C858" s="65"/>
    </row>
    <row r="859">
      <c r="C859" s="65"/>
    </row>
    <row r="860">
      <c r="C860" s="65"/>
    </row>
    <row r="861">
      <c r="C861" s="65"/>
    </row>
    <row r="862">
      <c r="C862" s="65"/>
    </row>
    <row r="863">
      <c r="C863" s="65"/>
    </row>
    <row r="864">
      <c r="C864" s="65"/>
    </row>
    <row r="865">
      <c r="C865" s="65"/>
    </row>
    <row r="866">
      <c r="C866" s="65"/>
    </row>
    <row r="867">
      <c r="C867" s="65"/>
    </row>
    <row r="868">
      <c r="C868" s="65"/>
    </row>
    <row r="869">
      <c r="C869" s="65"/>
    </row>
    <row r="870">
      <c r="C870" s="65"/>
    </row>
    <row r="871">
      <c r="C871" s="65"/>
    </row>
    <row r="872">
      <c r="C872" s="65"/>
    </row>
    <row r="873">
      <c r="C873" s="65"/>
    </row>
    <row r="874">
      <c r="C874" s="65"/>
    </row>
    <row r="875">
      <c r="C875" s="65"/>
    </row>
    <row r="876">
      <c r="C876" s="65"/>
    </row>
    <row r="877">
      <c r="C877" s="65"/>
    </row>
    <row r="878">
      <c r="C878" s="65"/>
    </row>
    <row r="879">
      <c r="C879" s="65"/>
    </row>
    <row r="880">
      <c r="C880" s="65"/>
    </row>
    <row r="881">
      <c r="C881" s="65"/>
    </row>
    <row r="882">
      <c r="C882" s="65"/>
    </row>
    <row r="883">
      <c r="C883" s="65"/>
    </row>
    <row r="884">
      <c r="C884" s="65"/>
    </row>
    <row r="885">
      <c r="C885" s="65"/>
    </row>
    <row r="886">
      <c r="C886" s="65"/>
    </row>
    <row r="887">
      <c r="C887" s="65"/>
    </row>
    <row r="888">
      <c r="C888" s="65"/>
    </row>
    <row r="889">
      <c r="C889" s="65"/>
    </row>
    <row r="890">
      <c r="C890" s="65"/>
    </row>
    <row r="891">
      <c r="C891" s="65"/>
    </row>
    <row r="892">
      <c r="C892" s="65"/>
    </row>
    <row r="893">
      <c r="C893" s="65"/>
    </row>
    <row r="894">
      <c r="C894" s="65"/>
    </row>
    <row r="895">
      <c r="C895" s="65"/>
    </row>
    <row r="896">
      <c r="C896" s="65"/>
    </row>
    <row r="897">
      <c r="C897" s="65"/>
    </row>
    <row r="898">
      <c r="C898" s="65"/>
    </row>
    <row r="899">
      <c r="C899" s="65"/>
    </row>
    <row r="900">
      <c r="C900" s="65"/>
    </row>
    <row r="901">
      <c r="C901" s="65"/>
    </row>
    <row r="902">
      <c r="C902" s="65"/>
    </row>
    <row r="903">
      <c r="C903" s="65"/>
    </row>
    <row r="904">
      <c r="C904" s="65"/>
    </row>
    <row r="905">
      <c r="C905" s="65"/>
    </row>
    <row r="906">
      <c r="C906" s="65"/>
    </row>
    <row r="907">
      <c r="C907" s="65"/>
    </row>
    <row r="908">
      <c r="C908" s="65"/>
    </row>
    <row r="909">
      <c r="C909" s="65"/>
    </row>
    <row r="910">
      <c r="C910" s="65"/>
    </row>
    <row r="911">
      <c r="C911" s="65"/>
    </row>
    <row r="912">
      <c r="C912" s="65"/>
    </row>
    <row r="913">
      <c r="C913" s="65"/>
    </row>
    <row r="914">
      <c r="C914" s="65"/>
    </row>
    <row r="915">
      <c r="C915" s="65"/>
    </row>
    <row r="916">
      <c r="C916" s="65"/>
    </row>
    <row r="917">
      <c r="C917" s="65"/>
    </row>
    <row r="918">
      <c r="C918" s="65"/>
    </row>
    <row r="919">
      <c r="C919" s="65"/>
    </row>
    <row r="920">
      <c r="C920" s="65"/>
    </row>
    <row r="921">
      <c r="C921" s="65"/>
    </row>
    <row r="922">
      <c r="C922" s="65"/>
    </row>
    <row r="923">
      <c r="C923" s="65"/>
    </row>
    <row r="924">
      <c r="C924" s="65"/>
    </row>
    <row r="925">
      <c r="C925" s="65"/>
    </row>
    <row r="926">
      <c r="C926" s="65"/>
    </row>
    <row r="927">
      <c r="C927" s="65"/>
    </row>
    <row r="928">
      <c r="C928" s="65"/>
    </row>
    <row r="929">
      <c r="C929" s="65"/>
    </row>
    <row r="930">
      <c r="C930" s="65"/>
    </row>
    <row r="931">
      <c r="C931" s="65"/>
    </row>
    <row r="932">
      <c r="C932" s="65"/>
    </row>
    <row r="933">
      <c r="C933" s="65"/>
    </row>
    <row r="934">
      <c r="C934" s="65"/>
    </row>
    <row r="935">
      <c r="C935" s="65"/>
    </row>
    <row r="936">
      <c r="C936" s="65"/>
    </row>
    <row r="937">
      <c r="C937" s="65"/>
    </row>
    <row r="938">
      <c r="C938" s="65"/>
    </row>
    <row r="939">
      <c r="C939" s="65"/>
    </row>
    <row r="940">
      <c r="C940" s="65"/>
    </row>
    <row r="941">
      <c r="C941" s="65"/>
    </row>
    <row r="942">
      <c r="C942" s="65"/>
    </row>
    <row r="943">
      <c r="C943" s="65"/>
    </row>
    <row r="944">
      <c r="C944" s="65"/>
    </row>
    <row r="945">
      <c r="C945" s="65"/>
    </row>
    <row r="946">
      <c r="C946" s="65"/>
    </row>
    <row r="947">
      <c r="C947" s="65"/>
    </row>
    <row r="948">
      <c r="C948" s="65"/>
    </row>
    <row r="949">
      <c r="C949" s="65"/>
    </row>
    <row r="950">
      <c r="C950" s="65"/>
    </row>
    <row r="951">
      <c r="C951" s="65"/>
    </row>
    <row r="952">
      <c r="C952" s="65"/>
    </row>
    <row r="953">
      <c r="C953" s="65"/>
    </row>
    <row r="954">
      <c r="C954" s="65"/>
    </row>
    <row r="955">
      <c r="C955" s="65"/>
    </row>
    <row r="956">
      <c r="C956" s="65"/>
    </row>
    <row r="957">
      <c r="C957" s="65"/>
    </row>
    <row r="958">
      <c r="C958" s="65"/>
    </row>
    <row r="959">
      <c r="C959" s="65"/>
    </row>
    <row r="960">
      <c r="C960" s="65"/>
    </row>
    <row r="961">
      <c r="C961" s="65"/>
    </row>
    <row r="962">
      <c r="C962" s="65"/>
    </row>
    <row r="963">
      <c r="C963" s="65"/>
    </row>
    <row r="964">
      <c r="C964" s="65"/>
    </row>
    <row r="965">
      <c r="C965" s="65"/>
    </row>
    <row r="966">
      <c r="C966" s="65"/>
    </row>
    <row r="967">
      <c r="C967" s="65"/>
    </row>
    <row r="968">
      <c r="C968" s="65"/>
    </row>
    <row r="969">
      <c r="C969" s="65"/>
    </row>
    <row r="970">
      <c r="C970" s="65"/>
    </row>
    <row r="971">
      <c r="C971" s="65"/>
    </row>
    <row r="972">
      <c r="C972" s="65"/>
    </row>
    <row r="973">
      <c r="C973" s="65"/>
    </row>
    <row r="974">
      <c r="C974" s="65"/>
    </row>
    <row r="975">
      <c r="C975" s="65"/>
    </row>
    <row r="976">
      <c r="C976" s="65"/>
    </row>
    <row r="977">
      <c r="C977" s="65"/>
    </row>
    <row r="978">
      <c r="C978" s="65"/>
    </row>
    <row r="979">
      <c r="C979" s="65"/>
    </row>
    <row r="980">
      <c r="C980" s="65"/>
    </row>
    <row r="981">
      <c r="C981" s="65"/>
    </row>
    <row r="982">
      <c r="C982" s="65"/>
    </row>
    <row r="983">
      <c r="C983" s="65"/>
    </row>
    <row r="984">
      <c r="C984" s="65"/>
    </row>
    <row r="985">
      <c r="C985" s="65"/>
    </row>
    <row r="986">
      <c r="C986" s="65"/>
    </row>
    <row r="987">
      <c r="C987" s="65"/>
    </row>
    <row r="988">
      <c r="C988" s="65"/>
    </row>
    <row r="989">
      <c r="C989" s="65"/>
    </row>
    <row r="990">
      <c r="C990" s="65"/>
    </row>
    <row r="991">
      <c r="C991" s="65"/>
    </row>
    <row r="992">
      <c r="C992" s="65"/>
    </row>
    <row r="993">
      <c r="C993" s="65"/>
    </row>
    <row r="994">
      <c r="C994" s="65"/>
    </row>
    <row r="995">
      <c r="C995" s="65"/>
    </row>
    <row r="996">
      <c r="C996" s="65"/>
    </row>
    <row r="997">
      <c r="C997" s="6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2.71"/>
    <col customWidth="1" min="2" max="2" width="46.57"/>
    <col customWidth="1" min="3" max="3" width="24.14"/>
    <col customWidth="1" min="4" max="4" width="21.86"/>
    <col customWidth="1" min="5" max="5" width="22.14"/>
    <col customWidth="1" min="6" max="26" width="8.71"/>
  </cols>
  <sheetData>
    <row r="1">
      <c r="A1" s="62"/>
      <c r="B1" s="63"/>
      <c r="C1" s="63"/>
      <c r="D1" s="79" t="s">
        <v>624</v>
      </c>
      <c r="E1" s="80">
        <v>45418.0</v>
      </c>
    </row>
    <row r="2">
      <c r="A2" s="81" t="s">
        <v>625</v>
      </c>
      <c r="B2" s="82" t="s">
        <v>438</v>
      </c>
      <c r="C2" s="82" t="s">
        <v>439</v>
      </c>
      <c r="D2" s="83"/>
      <c r="E2" s="83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84" t="s">
        <v>440</v>
      </c>
      <c r="B3" s="85" t="s">
        <v>629</v>
      </c>
      <c r="C3" s="85" t="s">
        <v>630</v>
      </c>
      <c r="D3" s="85" t="s">
        <v>631</v>
      </c>
      <c r="E3" s="86"/>
      <c r="F3" s="86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>
      <c r="A4" s="84" t="s">
        <v>3</v>
      </c>
      <c r="B4" s="85" t="s">
        <v>636</v>
      </c>
      <c r="C4" s="85" t="s">
        <v>585</v>
      </c>
      <c r="D4" s="87"/>
      <c r="E4" s="86"/>
      <c r="F4" s="86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>
      <c r="A5" s="84" t="s">
        <v>98</v>
      </c>
      <c r="B5" s="85" t="s">
        <v>642</v>
      </c>
      <c r="C5" s="85" t="s">
        <v>643</v>
      </c>
      <c r="D5" s="85"/>
      <c r="E5" s="85"/>
      <c r="F5" s="86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>
      <c r="A6" s="84" t="s">
        <v>467</v>
      </c>
      <c r="B6" s="85" t="s">
        <v>463</v>
      </c>
      <c r="C6" s="85"/>
      <c r="D6" s="86"/>
      <c r="E6" s="86"/>
      <c r="F6" s="86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>
      <c r="A7" s="84" t="s">
        <v>468</v>
      </c>
      <c r="B7" s="85" t="s">
        <v>644</v>
      </c>
      <c r="C7" s="86"/>
      <c r="D7" s="86"/>
      <c r="E7" s="86"/>
      <c r="F7" s="86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>
      <c r="A8" s="84" t="s">
        <v>472</v>
      </c>
      <c r="B8" s="85" t="s">
        <v>471</v>
      </c>
      <c r="C8" s="85" t="s">
        <v>470</v>
      </c>
      <c r="D8" s="86"/>
      <c r="E8" s="86"/>
      <c r="F8" s="86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>
      <c r="A9" s="84" t="s">
        <v>473</v>
      </c>
      <c r="B9" s="88" t="s">
        <v>474</v>
      </c>
      <c r="C9" s="85"/>
      <c r="D9" s="85"/>
      <c r="E9" s="86"/>
      <c r="F9" s="86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>
      <c r="A10" s="84" t="s">
        <v>475</v>
      </c>
      <c r="B10" s="85" t="s">
        <v>476</v>
      </c>
      <c r="C10" s="85"/>
      <c r="D10" s="85"/>
      <c r="E10" s="86"/>
      <c r="F10" s="86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>
      <c r="A11" s="89" t="s">
        <v>478</v>
      </c>
      <c r="B11" s="88" t="s">
        <v>479</v>
      </c>
      <c r="C11" s="88" t="s">
        <v>480</v>
      </c>
      <c r="D11" s="89"/>
      <c r="E11" s="90"/>
      <c r="F11" s="90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>
      <c r="A12" s="84" t="s">
        <v>425</v>
      </c>
      <c r="B12" s="85" t="s">
        <v>645</v>
      </c>
      <c r="C12" s="85"/>
      <c r="D12" s="89"/>
      <c r="E12" s="90"/>
      <c r="F12" s="90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>
      <c r="A13" s="89" t="s">
        <v>217</v>
      </c>
      <c r="B13" s="88" t="s">
        <v>484</v>
      </c>
      <c r="C13" s="90" t="s">
        <v>485</v>
      </c>
      <c r="D13" s="89"/>
      <c r="E13" s="88"/>
      <c r="F13" s="90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>
      <c r="A14" s="84" t="s">
        <v>486</v>
      </c>
      <c r="B14" s="85" t="s">
        <v>470</v>
      </c>
      <c r="C14" s="85" t="s">
        <v>489</v>
      </c>
      <c r="D14" s="91"/>
      <c r="E14" s="90"/>
      <c r="F14" s="90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>
      <c r="A15" s="84" t="s">
        <v>490</v>
      </c>
      <c r="B15" s="85" t="s">
        <v>491</v>
      </c>
      <c r="C15" s="86"/>
      <c r="D15" s="92"/>
      <c r="E15" s="90"/>
      <c r="F15" s="91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>
      <c r="A16" s="84" t="s">
        <v>493</v>
      </c>
      <c r="B16" s="85" t="s">
        <v>494</v>
      </c>
      <c r="C16" s="87"/>
      <c r="D16" s="91"/>
      <c r="E16" s="90"/>
      <c r="F16" s="91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>
      <c r="A17" s="84" t="s">
        <v>495</v>
      </c>
      <c r="B17" s="93" t="s">
        <v>496</v>
      </c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>
      <c r="A18" s="84" t="s">
        <v>646</v>
      </c>
      <c r="B18" s="85" t="s">
        <v>647</v>
      </c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>
      <c r="A19" s="84" t="s">
        <v>648</v>
      </c>
      <c r="B19" s="85" t="s">
        <v>471</v>
      </c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>
      <c r="A20" s="84" t="s">
        <v>638</v>
      </c>
      <c r="B20" s="84" t="s">
        <v>649</v>
      </c>
      <c r="C20" s="85"/>
      <c r="D20" s="85"/>
      <c r="E20" s="86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>
      <c r="A21" s="84" t="s">
        <v>650</v>
      </c>
      <c r="B21" s="94" t="s">
        <v>651</v>
      </c>
      <c r="C21" s="85"/>
      <c r="D21" s="85"/>
      <c r="E21" s="85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>
      <c r="A22" s="84" t="s">
        <v>652</v>
      </c>
      <c r="B22" s="85" t="s">
        <v>471</v>
      </c>
      <c r="C22" s="85"/>
      <c r="D22" s="86"/>
      <c r="E22" s="86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>
      <c r="A23" s="84" t="s">
        <v>653</v>
      </c>
      <c r="B23" s="85" t="s">
        <v>471</v>
      </c>
      <c r="C23" s="85"/>
      <c r="D23" s="86"/>
      <c r="E23" s="86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>
      <c r="A24" s="84"/>
      <c r="B24" s="85"/>
      <c r="C24" s="85"/>
      <c r="D24" s="86"/>
      <c r="E24" s="86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>
      <c r="A25" s="84"/>
      <c r="B25" s="85"/>
      <c r="C25" s="85"/>
      <c r="D25" s="86"/>
      <c r="E25" s="86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>
      <c r="A26" s="84" t="s">
        <v>616</v>
      </c>
      <c r="B26" s="94" t="s">
        <v>654</v>
      </c>
      <c r="C26" s="85" t="s">
        <v>655</v>
      </c>
      <c r="D26" s="86"/>
      <c r="E26" s="86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>
      <c r="A27" s="87"/>
      <c r="B27" s="87"/>
      <c r="C27" s="86"/>
      <c r="D27" s="86"/>
      <c r="E27" s="86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30">
      <c r="B30" s="66"/>
      <c r="C30" s="66"/>
    </row>
    <row r="31">
      <c r="B31" s="66"/>
      <c r="C31" s="66"/>
    </row>
    <row r="32">
      <c r="A32" s="78"/>
      <c r="B32" s="66"/>
      <c r="C32" s="66"/>
      <c r="D32" s="79" t="s">
        <v>624</v>
      </c>
      <c r="E32" s="80">
        <v>45518.0</v>
      </c>
    </row>
    <row r="33">
      <c r="A33" s="81" t="s">
        <v>656</v>
      </c>
      <c r="B33" s="82" t="s">
        <v>438</v>
      </c>
      <c r="C33" s="82" t="s">
        <v>439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95" t="s">
        <v>440</v>
      </c>
      <c r="B34" s="96" t="s">
        <v>629</v>
      </c>
      <c r="C34" s="97"/>
      <c r="D34" s="96"/>
      <c r="E34" s="96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</row>
    <row r="35">
      <c r="A35" s="95" t="s">
        <v>3</v>
      </c>
      <c r="B35" s="99" t="s">
        <v>586</v>
      </c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</row>
    <row r="36">
      <c r="A36" s="95" t="s">
        <v>98</v>
      </c>
      <c r="B36" s="99" t="s">
        <v>657</v>
      </c>
      <c r="C36" s="100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</row>
    <row r="37">
      <c r="A37" s="95" t="s">
        <v>467</v>
      </c>
      <c r="B37" s="96" t="s">
        <v>463</v>
      </c>
      <c r="C37" s="100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</row>
    <row r="38">
      <c r="A38" s="95" t="s">
        <v>468</v>
      </c>
      <c r="B38" s="96" t="s">
        <v>644</v>
      </c>
      <c r="C38" s="100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</row>
    <row r="39">
      <c r="A39" s="95" t="s">
        <v>472</v>
      </c>
      <c r="B39" s="96" t="s">
        <v>471</v>
      </c>
      <c r="C39" s="100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</row>
    <row r="40">
      <c r="A40" s="95" t="s">
        <v>473</v>
      </c>
      <c r="B40" s="101" t="s">
        <v>474</v>
      </c>
      <c r="C40" s="102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</row>
    <row r="41">
      <c r="A41" s="95" t="s">
        <v>475</v>
      </c>
      <c r="B41" s="96" t="s">
        <v>476</v>
      </c>
      <c r="C41" s="102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</row>
    <row r="42">
      <c r="A42" s="103" t="s">
        <v>478</v>
      </c>
      <c r="B42" s="101" t="s">
        <v>479</v>
      </c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</row>
    <row r="43">
      <c r="A43" s="95" t="s">
        <v>425</v>
      </c>
      <c r="B43" s="96" t="s">
        <v>645</v>
      </c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</row>
    <row r="44">
      <c r="A44" s="103" t="s">
        <v>217</v>
      </c>
      <c r="B44" s="104" t="s">
        <v>658</v>
      </c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</row>
    <row r="45">
      <c r="A45" s="95" t="s">
        <v>486</v>
      </c>
      <c r="B45" s="96" t="s">
        <v>470</v>
      </c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</row>
    <row r="46">
      <c r="A46" s="95" t="s">
        <v>490</v>
      </c>
      <c r="B46" s="96" t="s">
        <v>491</v>
      </c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</row>
    <row r="47">
      <c r="A47" s="95" t="s">
        <v>493</v>
      </c>
      <c r="B47" s="96" t="s">
        <v>494</v>
      </c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>
      <c r="A48" s="95" t="s">
        <v>495</v>
      </c>
      <c r="B48" s="97" t="s">
        <v>496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>
      <c r="A49" s="95" t="s">
        <v>659</v>
      </c>
      <c r="B49" s="99" t="s">
        <v>471</v>
      </c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>
      <c r="A50" s="95" t="s">
        <v>646</v>
      </c>
      <c r="B50" s="99" t="s">
        <v>660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</row>
    <row r="51">
      <c r="A51" s="95" t="s">
        <v>648</v>
      </c>
      <c r="B51" s="96" t="s">
        <v>471</v>
      </c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</row>
    <row r="52">
      <c r="A52" s="95" t="s">
        <v>661</v>
      </c>
      <c r="B52" s="99" t="s">
        <v>471</v>
      </c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</row>
    <row r="53">
      <c r="A53" s="95" t="s">
        <v>662</v>
      </c>
      <c r="B53" s="98"/>
      <c r="C53" s="96" t="s">
        <v>471</v>
      </c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</row>
    <row r="54">
      <c r="A54" s="95" t="s">
        <v>663</v>
      </c>
      <c r="B54" s="98"/>
      <c r="C54" s="96" t="s">
        <v>471</v>
      </c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</row>
    <row r="55">
      <c r="A55" s="95" t="s">
        <v>652</v>
      </c>
      <c r="B55" s="96" t="s">
        <v>471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</row>
    <row r="56">
      <c r="A56" s="95" t="s">
        <v>653</v>
      </c>
      <c r="B56" s="96" t="s">
        <v>471</v>
      </c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</row>
    <row r="57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</row>
    <row r="58">
      <c r="A58" s="98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</row>
    <row r="59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</row>
    <row r="60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</row>
    <row r="61">
      <c r="A61" s="95" t="s">
        <v>638</v>
      </c>
      <c r="B61" s="105">
        <v>6500.0</v>
      </c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>
      <c r="A62" s="95" t="s">
        <v>650</v>
      </c>
      <c r="B62" s="105" t="s">
        <v>664</v>
      </c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</row>
    <row r="63">
      <c r="A63" s="95" t="s">
        <v>616</v>
      </c>
      <c r="B63" s="105" t="s">
        <v>654</v>
      </c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</row>
    <row r="64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</row>
    <row r="65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</row>
    <row r="66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</row>
    <row r="67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</row>
    <row r="72">
      <c r="A72" s="7" t="s">
        <v>665</v>
      </c>
    </row>
    <row r="73">
      <c r="A73" s="7" t="s">
        <v>666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7.29" defaultRowHeight="15.0"/>
  <cols>
    <col customWidth="1" min="1" max="1" width="32.71"/>
    <col customWidth="1" min="2" max="2" width="23.86"/>
    <col customWidth="1" min="3" max="3" width="24.14"/>
    <col customWidth="1" min="4" max="4" width="21.86"/>
    <col customWidth="1" min="5" max="5" width="22.14"/>
    <col customWidth="1" min="6" max="26" width="8.71"/>
  </cols>
  <sheetData>
    <row r="1">
      <c r="A1" s="62" t="s">
        <v>667</v>
      </c>
      <c r="B1" s="63" t="s">
        <v>438</v>
      </c>
      <c r="C1" s="63" t="s">
        <v>439</v>
      </c>
      <c r="D1" s="66"/>
      <c r="E1" s="65"/>
    </row>
    <row r="2">
      <c r="A2" s="7" t="s">
        <v>440</v>
      </c>
      <c r="B2" s="66" t="s">
        <v>668</v>
      </c>
      <c r="C2" s="66" t="s">
        <v>669</v>
      </c>
      <c r="D2" s="64"/>
      <c r="E2" s="65"/>
      <c r="F2" s="65"/>
    </row>
    <row r="3">
      <c r="A3" s="7" t="s">
        <v>3</v>
      </c>
      <c r="B3" s="66" t="s">
        <v>596</v>
      </c>
      <c r="C3" s="66" t="s">
        <v>586</v>
      </c>
      <c r="E3" s="65"/>
      <c r="F3" s="65"/>
    </row>
    <row r="4">
      <c r="A4" s="7" t="s">
        <v>98</v>
      </c>
      <c r="B4" s="66" t="s">
        <v>670</v>
      </c>
      <c r="C4" s="66"/>
      <c r="D4" s="66"/>
      <c r="E4" s="65"/>
      <c r="F4" s="65"/>
    </row>
    <row r="5">
      <c r="A5" s="7" t="s">
        <v>671</v>
      </c>
      <c r="B5" s="66" t="s">
        <v>672</v>
      </c>
      <c r="C5" s="66"/>
      <c r="D5" s="65"/>
      <c r="E5" s="65"/>
      <c r="F5" s="65"/>
    </row>
    <row r="6">
      <c r="A6" s="7" t="s">
        <v>468</v>
      </c>
      <c r="B6" s="66" t="s">
        <v>673</v>
      </c>
      <c r="C6" s="65"/>
      <c r="D6" s="65"/>
      <c r="E6" s="65"/>
      <c r="F6" s="65"/>
    </row>
    <row r="7">
      <c r="A7" s="7" t="s">
        <v>472</v>
      </c>
      <c r="B7" s="66" t="s">
        <v>471</v>
      </c>
      <c r="C7" s="66" t="s">
        <v>470</v>
      </c>
      <c r="D7" s="65"/>
      <c r="E7" s="65"/>
      <c r="F7" s="65"/>
    </row>
    <row r="8">
      <c r="A8" s="7" t="s">
        <v>473</v>
      </c>
      <c r="B8" s="71" t="s">
        <v>474</v>
      </c>
      <c r="C8" s="66"/>
      <c r="D8" s="66"/>
      <c r="E8" s="65"/>
      <c r="F8" s="65"/>
    </row>
    <row r="9">
      <c r="A9" s="7" t="s">
        <v>475</v>
      </c>
      <c r="B9" s="66" t="s">
        <v>476</v>
      </c>
      <c r="C9" s="66"/>
      <c r="D9" s="66"/>
      <c r="E9" s="65"/>
      <c r="F9" s="65"/>
    </row>
    <row r="10">
      <c r="A10" s="68" t="s">
        <v>478</v>
      </c>
      <c r="B10" s="71" t="s">
        <v>479</v>
      </c>
      <c r="C10" s="71" t="s">
        <v>480</v>
      </c>
      <c r="D10" s="66"/>
      <c r="E10" s="65"/>
      <c r="F10" s="65"/>
    </row>
    <row r="11">
      <c r="A11" s="7" t="s">
        <v>425</v>
      </c>
      <c r="B11" s="66" t="s">
        <v>674</v>
      </c>
      <c r="C11" s="66" t="s">
        <v>675</v>
      </c>
      <c r="D11" s="66"/>
      <c r="E11" s="65"/>
      <c r="F11" s="65"/>
    </row>
    <row r="12">
      <c r="A12" s="7" t="s">
        <v>490</v>
      </c>
      <c r="B12" s="66" t="s">
        <v>491</v>
      </c>
      <c r="C12" s="65"/>
      <c r="D12" s="65"/>
      <c r="E12" s="65"/>
    </row>
    <row r="14">
      <c r="A14" s="7" t="s">
        <v>638</v>
      </c>
      <c r="B14" s="7" t="s">
        <v>676</v>
      </c>
    </row>
    <row r="15">
      <c r="A15" s="7" t="s">
        <v>650</v>
      </c>
      <c r="B15" s="67" t="s">
        <v>677</v>
      </c>
    </row>
    <row r="16">
      <c r="A16" s="7" t="s">
        <v>616</v>
      </c>
      <c r="B16" s="67">
        <v>2300.0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2.71"/>
    <col customWidth="1" min="2" max="2" width="23.86"/>
    <col customWidth="1" min="3" max="3" width="24.14"/>
    <col customWidth="1" min="4" max="4" width="21.86"/>
    <col customWidth="1" min="5" max="5" width="22.14"/>
    <col customWidth="1" min="6" max="26" width="8.71"/>
  </cols>
  <sheetData>
    <row r="1">
      <c r="A1" s="62" t="s">
        <v>678</v>
      </c>
      <c r="B1" s="63" t="s">
        <v>438</v>
      </c>
      <c r="C1" s="63" t="s">
        <v>439</v>
      </c>
      <c r="D1" s="65"/>
      <c r="E1" s="65"/>
    </row>
    <row r="2">
      <c r="A2" s="7" t="s">
        <v>440</v>
      </c>
      <c r="B2" s="64">
        <v>43927.0</v>
      </c>
      <c r="C2" s="64">
        <v>43990.0</v>
      </c>
      <c r="D2" s="66"/>
      <c r="E2" s="65"/>
      <c r="F2" s="65"/>
    </row>
    <row r="3">
      <c r="A3" s="7" t="s">
        <v>3</v>
      </c>
      <c r="B3" s="66" t="s">
        <v>596</v>
      </c>
      <c r="C3" s="66"/>
      <c r="E3" s="65"/>
      <c r="F3" s="65"/>
    </row>
    <row r="4">
      <c r="A4" s="7" t="s">
        <v>98</v>
      </c>
      <c r="B4" s="66" t="s">
        <v>670</v>
      </c>
      <c r="C4" s="66"/>
      <c r="D4" s="66"/>
      <c r="E4" s="65"/>
      <c r="F4" s="65"/>
    </row>
    <row r="5">
      <c r="A5" s="7" t="s">
        <v>671</v>
      </c>
      <c r="B5" s="66" t="s">
        <v>672</v>
      </c>
      <c r="C5" s="66"/>
      <c r="D5" s="65"/>
      <c r="E5" s="65"/>
      <c r="F5" s="65"/>
    </row>
    <row r="6">
      <c r="A6" s="7" t="s">
        <v>468</v>
      </c>
      <c r="B6" s="66" t="s">
        <v>679</v>
      </c>
      <c r="C6" s="65"/>
      <c r="D6" s="65"/>
      <c r="E6" s="65"/>
      <c r="F6" s="65"/>
    </row>
    <row r="7">
      <c r="A7" s="7" t="s">
        <v>472</v>
      </c>
      <c r="B7" s="66" t="s">
        <v>471</v>
      </c>
      <c r="C7" s="66" t="s">
        <v>470</v>
      </c>
      <c r="D7" s="65"/>
      <c r="E7" s="65"/>
      <c r="F7" s="65"/>
    </row>
    <row r="8">
      <c r="A8" s="7" t="s">
        <v>473</v>
      </c>
      <c r="B8" s="69" t="s">
        <v>680</v>
      </c>
      <c r="C8" s="66"/>
      <c r="D8" s="66"/>
      <c r="E8" s="65"/>
      <c r="F8" s="65"/>
    </row>
    <row r="9">
      <c r="A9" s="7" t="s">
        <v>475</v>
      </c>
      <c r="B9" s="66" t="s">
        <v>476</v>
      </c>
      <c r="C9" s="66"/>
      <c r="D9" s="66"/>
      <c r="E9" s="65"/>
      <c r="F9" s="65"/>
    </row>
    <row r="10">
      <c r="A10" s="68" t="s">
        <v>478</v>
      </c>
      <c r="B10" s="71" t="s">
        <v>480</v>
      </c>
      <c r="D10" s="66"/>
      <c r="E10" s="65"/>
      <c r="F10" s="65"/>
    </row>
    <row r="11">
      <c r="A11" s="7" t="s">
        <v>425</v>
      </c>
      <c r="B11" s="66" t="s">
        <v>681</v>
      </c>
      <c r="C11" s="66"/>
      <c r="D11" s="66"/>
      <c r="E11" s="65"/>
      <c r="F11" s="65"/>
    </row>
    <row r="12">
      <c r="A12" s="7" t="s">
        <v>490</v>
      </c>
      <c r="B12" s="66" t="s">
        <v>470</v>
      </c>
      <c r="C12" s="66" t="s">
        <v>471</v>
      </c>
    </row>
    <row r="13">
      <c r="D13" s="65"/>
      <c r="E13" s="65"/>
    </row>
    <row r="14">
      <c r="A14" s="7" t="s">
        <v>638</v>
      </c>
      <c r="B14" s="66" t="s">
        <v>682</v>
      </c>
    </row>
    <row r="15">
      <c r="A15" s="7" t="s">
        <v>650</v>
      </c>
      <c r="B15" s="66">
        <v>900.0</v>
      </c>
    </row>
    <row r="16">
      <c r="A16" s="7" t="s">
        <v>616</v>
      </c>
      <c r="B16" s="66">
        <v>2300.0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42.86"/>
    <col customWidth="1" min="2" max="2" width="21.71"/>
  </cols>
  <sheetData>
    <row r="1">
      <c r="A1" s="62" t="s">
        <v>171</v>
      </c>
      <c r="B1" s="63" t="s">
        <v>438</v>
      </c>
      <c r="C1" s="63" t="s">
        <v>439</v>
      </c>
      <c r="D1" s="65"/>
      <c r="E1" s="65"/>
    </row>
    <row r="2">
      <c r="A2" s="7" t="s">
        <v>440</v>
      </c>
      <c r="B2" s="66" t="s">
        <v>683</v>
      </c>
      <c r="C2" s="64"/>
      <c r="D2" s="66"/>
      <c r="E2" s="65"/>
    </row>
    <row r="3">
      <c r="A3" s="7" t="s">
        <v>3</v>
      </c>
      <c r="B3" s="66" t="s">
        <v>587</v>
      </c>
      <c r="C3" s="66" t="s">
        <v>597</v>
      </c>
      <c r="D3" s="66"/>
      <c r="E3" s="66"/>
    </row>
    <row r="4">
      <c r="A4" s="7" t="s">
        <v>452</v>
      </c>
      <c r="B4" s="66" t="s">
        <v>455</v>
      </c>
      <c r="C4" s="66"/>
      <c r="D4" s="66"/>
      <c r="E4" s="67"/>
    </row>
    <row r="5">
      <c r="A5" s="7" t="s">
        <v>98</v>
      </c>
      <c r="B5" s="66" t="s">
        <v>458</v>
      </c>
      <c r="C5" s="66"/>
      <c r="D5" s="66"/>
      <c r="E5" s="65"/>
    </row>
    <row r="6">
      <c r="A6" s="7" t="s">
        <v>461</v>
      </c>
      <c r="B6" s="66" t="s">
        <v>462</v>
      </c>
      <c r="C6" s="66" t="s">
        <v>463</v>
      </c>
      <c r="D6" s="66"/>
      <c r="E6" s="65"/>
    </row>
    <row r="7">
      <c r="A7" s="7" t="s">
        <v>464</v>
      </c>
      <c r="B7" s="66" t="s">
        <v>684</v>
      </c>
      <c r="C7" s="66"/>
      <c r="D7" s="65"/>
      <c r="E7" s="65"/>
    </row>
    <row r="8">
      <c r="A8" s="68" t="s">
        <v>467</v>
      </c>
      <c r="B8" s="66" t="s">
        <v>462</v>
      </c>
      <c r="C8" s="66" t="s">
        <v>463</v>
      </c>
      <c r="D8" s="65"/>
      <c r="E8" s="65"/>
    </row>
    <row r="9">
      <c r="A9" s="68" t="s">
        <v>468</v>
      </c>
      <c r="B9" s="66" t="s">
        <v>685</v>
      </c>
      <c r="C9" s="65"/>
      <c r="D9" s="65"/>
      <c r="E9" s="65"/>
    </row>
    <row r="10">
      <c r="A10" s="7" t="s">
        <v>469</v>
      </c>
      <c r="B10" s="66" t="s">
        <v>470</v>
      </c>
      <c r="C10" s="66" t="s">
        <v>471</v>
      </c>
      <c r="D10" s="66"/>
      <c r="E10" s="65"/>
    </row>
    <row r="11">
      <c r="A11" s="7" t="s">
        <v>473</v>
      </c>
      <c r="B11" s="66" t="s">
        <v>474</v>
      </c>
      <c r="C11" s="66"/>
      <c r="D11" s="66"/>
      <c r="E11" s="65"/>
    </row>
    <row r="12">
      <c r="A12" s="7" t="s">
        <v>686</v>
      </c>
      <c r="B12" s="66" t="s">
        <v>476</v>
      </c>
      <c r="C12" s="66"/>
      <c r="D12" s="66"/>
      <c r="E12" s="65"/>
    </row>
    <row r="13">
      <c r="A13" s="68" t="s">
        <v>478</v>
      </c>
      <c r="B13" s="69" t="s">
        <v>687</v>
      </c>
      <c r="D13" s="66"/>
      <c r="E13" s="65"/>
    </row>
    <row r="14">
      <c r="A14" s="7" t="s">
        <v>425</v>
      </c>
      <c r="B14" s="66" t="s">
        <v>481</v>
      </c>
      <c r="C14" s="66" t="s">
        <v>483</v>
      </c>
      <c r="D14" s="66"/>
      <c r="E14" s="65"/>
    </row>
    <row r="15">
      <c r="A15" s="7" t="s">
        <v>486</v>
      </c>
      <c r="B15" s="66" t="s">
        <v>470</v>
      </c>
      <c r="C15" s="66" t="s">
        <v>489</v>
      </c>
      <c r="D15" s="66"/>
    </row>
    <row r="16">
      <c r="A16" s="7" t="s">
        <v>490</v>
      </c>
      <c r="B16" s="66" t="s">
        <v>491</v>
      </c>
      <c r="C16" s="65"/>
      <c r="D16" s="65"/>
      <c r="E16" s="65"/>
    </row>
    <row r="17">
      <c r="A17" s="7" t="s">
        <v>493</v>
      </c>
      <c r="B17" s="66" t="s">
        <v>494</v>
      </c>
      <c r="C17" s="65"/>
      <c r="D17" s="65"/>
      <c r="E17" s="65"/>
    </row>
    <row r="18">
      <c r="A18" s="7" t="s">
        <v>495</v>
      </c>
      <c r="B18" s="69" t="s">
        <v>688</v>
      </c>
      <c r="E18" s="7"/>
    </row>
    <row r="20">
      <c r="B20" s="66"/>
      <c r="C20" s="66"/>
    </row>
    <row r="21">
      <c r="B21" s="66"/>
      <c r="C21" s="66"/>
    </row>
    <row r="22">
      <c r="B22" s="66"/>
      <c r="C22" s="66"/>
      <c r="D22" s="66"/>
    </row>
    <row r="23">
      <c r="D23" s="66"/>
      <c r="E23" s="66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2.71"/>
    <col customWidth="1" min="2" max="2" width="24.86"/>
    <col customWidth="1" min="3" max="3" width="24.14"/>
    <col customWidth="1" min="4" max="4" width="21.86"/>
    <col customWidth="1" min="5" max="5" width="22.14"/>
    <col customWidth="1" min="6" max="26" width="8.71"/>
  </cols>
  <sheetData>
    <row r="1">
      <c r="A1" s="62" t="s">
        <v>689</v>
      </c>
      <c r="B1" s="63" t="s">
        <v>438</v>
      </c>
      <c r="C1" s="63" t="s">
        <v>439</v>
      </c>
      <c r="D1" s="65"/>
      <c r="E1" s="65"/>
    </row>
    <row r="2">
      <c r="A2" s="7" t="s">
        <v>611</v>
      </c>
      <c r="C2" s="7"/>
      <c r="E2" s="65"/>
      <c r="F2" s="65"/>
    </row>
    <row r="3">
      <c r="A3" s="7" t="s">
        <v>690</v>
      </c>
      <c r="B3" s="66" t="s">
        <v>612</v>
      </c>
      <c r="C3" s="7"/>
      <c r="D3" s="66"/>
      <c r="E3" s="65"/>
      <c r="F3" s="65"/>
    </row>
    <row r="4">
      <c r="A4" s="7" t="s">
        <v>691</v>
      </c>
      <c r="B4" s="66" t="s">
        <v>692</v>
      </c>
      <c r="C4" s="7" t="s">
        <v>693</v>
      </c>
      <c r="D4" s="66"/>
      <c r="E4" s="66"/>
      <c r="F4" s="65"/>
    </row>
    <row r="5">
      <c r="A5" s="7"/>
      <c r="B5" s="66"/>
      <c r="C5" s="7"/>
      <c r="D5" s="66"/>
      <c r="E5" s="67"/>
      <c r="F5" s="65"/>
    </row>
    <row r="6">
      <c r="A6" s="7" t="s">
        <v>694</v>
      </c>
      <c r="B6" s="66" t="s">
        <v>695</v>
      </c>
      <c r="C6" s="7"/>
      <c r="D6" s="66"/>
      <c r="E6" s="65"/>
      <c r="F6" s="65"/>
    </row>
    <row r="7">
      <c r="A7" s="7" t="s">
        <v>3</v>
      </c>
      <c r="B7" s="66" t="s">
        <v>448</v>
      </c>
      <c r="C7" s="7"/>
      <c r="D7" s="66"/>
      <c r="E7" s="65"/>
      <c r="F7" s="65"/>
    </row>
    <row r="8">
      <c r="A8" s="7" t="s">
        <v>451</v>
      </c>
      <c r="B8" s="66">
        <v>60.0</v>
      </c>
      <c r="F8" s="65"/>
    </row>
    <row r="9">
      <c r="A9" s="7" t="s">
        <v>696</v>
      </c>
      <c r="B9" s="66" t="s">
        <v>697</v>
      </c>
      <c r="F9" s="65"/>
    </row>
    <row r="10">
      <c r="A10" s="7" t="s">
        <v>698</v>
      </c>
      <c r="C10" s="7" t="s">
        <v>699</v>
      </c>
      <c r="F10" s="65"/>
    </row>
    <row r="11">
      <c r="A11" s="7" t="s">
        <v>700</v>
      </c>
      <c r="B11" s="7" t="s">
        <v>701</v>
      </c>
      <c r="F11" s="65"/>
    </row>
    <row r="12">
      <c r="A12" s="7" t="s">
        <v>702</v>
      </c>
      <c r="B12" s="66" t="s">
        <v>474</v>
      </c>
      <c r="C12" s="66"/>
      <c r="D12" s="65"/>
      <c r="E12" s="65"/>
      <c r="F12" s="65"/>
    </row>
    <row r="13">
      <c r="A13" s="7" t="s">
        <v>703</v>
      </c>
      <c r="B13" s="66" t="s">
        <v>704</v>
      </c>
      <c r="C13" s="66"/>
      <c r="D13" s="65"/>
      <c r="E13" s="65"/>
      <c r="F13" s="65"/>
    </row>
    <row r="14">
      <c r="A14" s="7" t="s">
        <v>705</v>
      </c>
      <c r="B14" s="66" t="s">
        <v>706</v>
      </c>
      <c r="C14" s="65"/>
      <c r="D14" s="65"/>
      <c r="E14" s="65"/>
      <c r="F14" s="65"/>
    </row>
    <row r="15">
      <c r="A15" s="7"/>
      <c r="B15" s="66"/>
      <c r="C15" s="66"/>
      <c r="D15" s="65"/>
      <c r="E15" s="65"/>
      <c r="F15" s="65"/>
    </row>
    <row r="16">
      <c r="A16" s="7" t="s">
        <v>472</v>
      </c>
      <c r="B16" s="66" t="s">
        <v>471</v>
      </c>
      <c r="C16" s="66" t="s">
        <v>470</v>
      </c>
      <c r="D16" s="65"/>
      <c r="E16" s="65"/>
      <c r="F16" s="65"/>
    </row>
    <row r="17">
      <c r="A17" s="7" t="s">
        <v>473</v>
      </c>
      <c r="B17" s="66" t="s">
        <v>474</v>
      </c>
      <c r="C17" s="66"/>
      <c r="D17" s="66"/>
      <c r="E17" s="65"/>
    </row>
    <row r="18">
      <c r="A18" s="7" t="s">
        <v>475</v>
      </c>
      <c r="B18" s="66" t="s">
        <v>476</v>
      </c>
      <c r="C18" s="66"/>
      <c r="D18" s="66"/>
      <c r="E18" s="65"/>
    </row>
    <row r="19">
      <c r="A19" s="68" t="s">
        <v>478</v>
      </c>
      <c r="B19" s="71" t="s">
        <v>538</v>
      </c>
      <c r="C19" s="71" t="s">
        <v>711</v>
      </c>
      <c r="D19" s="66"/>
      <c r="E19" s="65"/>
    </row>
    <row r="20">
      <c r="A20" s="7" t="s">
        <v>713</v>
      </c>
      <c r="B20" s="66" t="s">
        <v>714</v>
      </c>
      <c r="C20" s="66"/>
      <c r="D20" s="66"/>
      <c r="E20" s="65"/>
    </row>
    <row r="21">
      <c r="A21" s="7"/>
      <c r="B21" s="66"/>
      <c r="C21" s="66"/>
      <c r="D21" s="66"/>
      <c r="E21" s="66"/>
    </row>
    <row r="22">
      <c r="A22" s="7"/>
      <c r="B22" s="66"/>
      <c r="C22" s="66"/>
      <c r="D22" s="66"/>
      <c r="E22" s="66"/>
    </row>
    <row r="23">
      <c r="A23" s="7"/>
      <c r="B23" s="66"/>
      <c r="C23" s="65"/>
      <c r="D23" s="65"/>
      <c r="E23" s="65"/>
    </row>
    <row r="24">
      <c r="A24" s="7"/>
      <c r="B24" s="66"/>
      <c r="C24" s="65"/>
      <c r="D24" s="65"/>
      <c r="E24" s="65"/>
    </row>
    <row r="25">
      <c r="A25" s="7"/>
      <c r="B25" s="66"/>
      <c r="E25" s="7"/>
    </row>
    <row r="27">
      <c r="A27" s="7"/>
      <c r="B27" s="66"/>
      <c r="C27" s="66"/>
    </row>
    <row r="28">
      <c r="A28" s="7"/>
      <c r="B28" s="66"/>
      <c r="C28" s="66"/>
    </row>
    <row r="29">
      <c r="A29" s="7"/>
      <c r="B29" s="66"/>
      <c r="C29" s="66"/>
    </row>
    <row r="30">
      <c r="A30" s="7"/>
      <c r="B30" s="66"/>
      <c r="C30" s="66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2.71"/>
    <col customWidth="1" min="2" max="2" width="62.14"/>
    <col customWidth="1" min="3" max="3" width="24.14"/>
    <col customWidth="1" min="4" max="4" width="21.86"/>
    <col customWidth="1" min="5" max="5" width="22.14"/>
    <col customWidth="1" min="6" max="26" width="8.71"/>
  </cols>
  <sheetData>
    <row r="1">
      <c r="A1" s="62" t="s">
        <v>707</v>
      </c>
      <c r="B1" s="63" t="s">
        <v>438</v>
      </c>
      <c r="C1" s="63" t="s">
        <v>439</v>
      </c>
      <c r="D1" s="65"/>
      <c r="E1" s="65"/>
    </row>
    <row r="2">
      <c r="A2" s="7" t="s">
        <v>611</v>
      </c>
      <c r="C2" s="64"/>
      <c r="D2" s="64"/>
      <c r="E2" s="65"/>
      <c r="F2" s="65"/>
    </row>
    <row r="3">
      <c r="A3" s="7" t="s">
        <v>690</v>
      </c>
      <c r="B3" s="66" t="s">
        <v>708</v>
      </c>
      <c r="C3" s="66"/>
      <c r="D3" s="66"/>
      <c r="E3" s="65"/>
      <c r="F3" s="65"/>
    </row>
    <row r="4">
      <c r="A4" s="7" t="s">
        <v>691</v>
      </c>
      <c r="B4" s="66" t="s">
        <v>692</v>
      </c>
      <c r="C4" s="66" t="s">
        <v>709</v>
      </c>
      <c r="D4" s="66"/>
      <c r="E4" s="66"/>
      <c r="F4" s="65"/>
    </row>
    <row r="5">
      <c r="A5" s="7" t="s">
        <v>710</v>
      </c>
      <c r="B5" s="66" t="s">
        <v>712</v>
      </c>
      <c r="C5" s="66" t="s">
        <v>709</v>
      </c>
      <c r="D5" s="66"/>
      <c r="E5" s="67"/>
      <c r="F5" s="65"/>
    </row>
    <row r="6">
      <c r="A6" s="7" t="s">
        <v>440</v>
      </c>
      <c r="B6" s="66" t="s">
        <v>715</v>
      </c>
      <c r="C6" s="66"/>
      <c r="D6" s="66"/>
      <c r="E6" s="65"/>
      <c r="F6" s="65"/>
    </row>
    <row r="7">
      <c r="A7" s="7" t="s">
        <v>3</v>
      </c>
      <c r="B7" s="66" t="s">
        <v>448</v>
      </c>
      <c r="C7" s="66"/>
      <c r="D7" s="65"/>
      <c r="E7" s="65"/>
      <c r="F7" s="65"/>
    </row>
    <row r="8">
      <c r="A8" s="7" t="s">
        <v>451</v>
      </c>
      <c r="B8" s="66">
        <v>60.0</v>
      </c>
      <c r="C8" s="66"/>
      <c r="D8" s="65"/>
      <c r="E8" s="65"/>
      <c r="F8" s="65"/>
    </row>
    <row r="9">
      <c r="A9" s="7" t="s">
        <v>452</v>
      </c>
      <c r="B9" s="66" t="s">
        <v>716</v>
      </c>
      <c r="C9" s="66"/>
      <c r="D9" s="65"/>
      <c r="E9" s="65"/>
      <c r="F9" s="65"/>
    </row>
    <row r="10">
      <c r="A10" s="7" t="s">
        <v>705</v>
      </c>
      <c r="B10" s="66" t="s">
        <v>466</v>
      </c>
      <c r="C10" s="65"/>
      <c r="D10" s="65"/>
      <c r="E10" s="65"/>
      <c r="F10" s="65"/>
    </row>
    <row r="11">
      <c r="A11" s="7" t="s">
        <v>469</v>
      </c>
      <c r="B11" s="66" t="s">
        <v>471</v>
      </c>
      <c r="C11" s="66"/>
      <c r="D11" s="65"/>
      <c r="E11" s="65"/>
      <c r="F11" s="65"/>
    </row>
    <row r="12">
      <c r="A12" s="7" t="s">
        <v>472</v>
      </c>
      <c r="B12" s="66" t="s">
        <v>471</v>
      </c>
      <c r="C12" s="66" t="s">
        <v>470</v>
      </c>
      <c r="D12" s="65"/>
      <c r="E12" s="65"/>
      <c r="F12" s="65"/>
    </row>
    <row r="13">
      <c r="A13" s="7" t="s">
        <v>473</v>
      </c>
      <c r="B13" s="66" t="s">
        <v>474</v>
      </c>
      <c r="C13" s="66"/>
      <c r="D13" s="66"/>
      <c r="E13" s="65"/>
      <c r="F13" s="65"/>
    </row>
    <row r="14">
      <c r="A14" s="7" t="s">
        <v>475</v>
      </c>
      <c r="B14" s="66" t="s">
        <v>476</v>
      </c>
      <c r="C14" s="66"/>
      <c r="D14" s="66"/>
      <c r="E14" s="65"/>
      <c r="F14" s="65"/>
    </row>
    <row r="15">
      <c r="A15" s="7" t="s">
        <v>568</v>
      </c>
      <c r="B15" s="66" t="s">
        <v>569</v>
      </c>
      <c r="C15" s="66" t="s">
        <v>570</v>
      </c>
      <c r="D15" s="66"/>
      <c r="E15" s="65"/>
      <c r="F15" s="65"/>
    </row>
    <row r="16">
      <c r="A16" s="7"/>
      <c r="B16" s="66"/>
      <c r="C16" s="65"/>
      <c r="D16" s="65"/>
      <c r="E16" s="65"/>
    </row>
    <row r="17">
      <c r="A17" s="7" t="s">
        <v>576</v>
      </c>
      <c r="B17" s="66" t="s">
        <v>717</v>
      </c>
      <c r="C17" s="65"/>
      <c r="D17" s="65"/>
      <c r="E17" s="65"/>
    </row>
    <row r="18">
      <c r="A18" s="7" t="s">
        <v>718</v>
      </c>
      <c r="B18" s="7" t="s">
        <v>719</v>
      </c>
    </row>
    <row r="19">
      <c r="A19" s="7" t="s">
        <v>720</v>
      </c>
      <c r="B19" s="66" t="s">
        <v>721</v>
      </c>
      <c r="C19" s="66" t="s">
        <v>722</v>
      </c>
    </row>
    <row r="20">
      <c r="A20" s="7" t="s">
        <v>723</v>
      </c>
      <c r="B20" s="7" t="s">
        <v>724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1.71"/>
    <col customWidth="1" min="2" max="2" width="53.14"/>
    <col customWidth="1" min="3" max="3" width="25.86"/>
  </cols>
  <sheetData>
    <row r="2">
      <c r="A2" s="62" t="s">
        <v>725</v>
      </c>
      <c r="B2" s="63" t="s">
        <v>438</v>
      </c>
      <c r="C2" s="63" t="s">
        <v>439</v>
      </c>
    </row>
    <row r="3">
      <c r="A3" s="7" t="s">
        <v>726</v>
      </c>
      <c r="B3" s="66" t="s">
        <v>727</v>
      </c>
      <c r="C3" s="64"/>
    </row>
    <row r="4">
      <c r="A4" s="7" t="s">
        <v>611</v>
      </c>
      <c r="B4" s="66" t="s">
        <v>728</v>
      </c>
      <c r="C4" s="66"/>
    </row>
    <row r="5">
      <c r="A5" s="7" t="s">
        <v>729</v>
      </c>
      <c r="B5" s="66" t="s">
        <v>730</v>
      </c>
    </row>
    <row r="6">
      <c r="A6" s="7" t="s">
        <v>731</v>
      </c>
      <c r="B6" s="66" t="s">
        <v>732</v>
      </c>
    </row>
    <row r="7">
      <c r="A7" s="7" t="s">
        <v>733</v>
      </c>
      <c r="B7" s="66" t="s">
        <v>734</v>
      </c>
    </row>
    <row r="8">
      <c r="A8" s="7" t="s">
        <v>735</v>
      </c>
      <c r="B8" s="66" t="s">
        <v>736</v>
      </c>
    </row>
    <row r="9">
      <c r="A9" s="7" t="s">
        <v>737</v>
      </c>
      <c r="B9" s="66" t="s">
        <v>738</v>
      </c>
      <c r="C9" s="66"/>
    </row>
    <row r="10">
      <c r="A10" s="7" t="s">
        <v>739</v>
      </c>
      <c r="B10" s="66" t="s">
        <v>740</v>
      </c>
      <c r="C10" s="66"/>
    </row>
    <row r="11">
      <c r="A11" s="7" t="s">
        <v>741</v>
      </c>
      <c r="B11" s="66" t="s">
        <v>742</v>
      </c>
      <c r="C11" s="66" t="s">
        <v>743</v>
      </c>
    </row>
    <row r="12">
      <c r="A12" s="7" t="s">
        <v>744</v>
      </c>
      <c r="B12" s="66" t="s">
        <v>745</v>
      </c>
      <c r="C12" s="66" t="s">
        <v>746</v>
      </c>
    </row>
  </sheetData>
  <drawing r:id="rId1"/>
</worksheet>
</file>